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AGE" sheetId="2" r:id="rId5"/>
    <sheet state="visible" name="GENDER" sheetId="3" r:id="rId6"/>
    <sheet state="visible" name="BMI" sheetId="4" r:id="rId7"/>
    <sheet state="visible" name="CHILDREN" sheetId="5" r:id="rId8"/>
    <sheet state="visible" name="SMOKER" sheetId="6" r:id="rId9"/>
    <sheet state="visible" name="REGION" sheetId="7" r:id="rId10"/>
    <sheet state="visible" name="CHARGES" sheetId="8" r:id="rId11"/>
    <sheet state="visible" name="PIVOT TABLE" sheetId="9" r:id="rId12"/>
    <sheet state="visible" name="DASHBOARD" sheetId="10" r:id="rId13"/>
  </sheets>
  <definedNames>
    <definedName name="Slicer_SEX">#REF!</definedName>
    <definedName name="Slicer_AGE">#REF!</definedName>
    <definedName name="Slicer_BMI">#REF!</definedName>
    <definedName name="Slicer_SMOKER">#REF!</definedName>
    <definedName name="_xlchart.v1.0">DATA!$A$4:$A$1341</definedName>
    <definedName name="Slicer_CHILDREN">#REF!</definedName>
    <definedName name="Slicer_CHARGES">#REF!</definedName>
  </definedNames>
  <calcPr/>
  <pivotCaches>
    <pivotCache cacheId="0" r:id="rId14"/>
  </pivotCaches>
  <extLst>
    <ext uri="GoogleSheetsCustomDataVersion2">
      <go:sheetsCustomData xmlns:go="http://customooxmlschemas.google.com/" r:id="rId15" roundtripDataChecksum="l9Hr49lnN5RDIYjO4P8PydRrRSP0UfhhoFZHDXNQrek="/>
    </ext>
  </extLst>
</workbook>
</file>

<file path=xl/sharedStrings.xml><?xml version="1.0" encoding="utf-8"?>
<sst xmlns="http://schemas.openxmlformats.org/spreadsheetml/2006/main" count="4142" uniqueCount="81">
  <si>
    <t>AGEAS INSURANCE</t>
  </si>
  <si>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</si>
  <si>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</si>
  <si>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</si>
  <si>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</si>
  <si>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</si>
  <si>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</si>
  <si>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</si>
  <si>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</si>
  <si>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</si>
  <si>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</si>
  <si>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</si>
  <si>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</si>
  <si>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</si>
  <si>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</si>
  <si>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</si>
  <si>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RESULTS</t>
  </si>
  <si>
    <t>MAX</t>
  </si>
  <si>
    <t>MIN</t>
  </si>
  <si>
    <t>AVERGAE</t>
  </si>
  <si>
    <t>COUNT</t>
  </si>
  <si>
    <t>MODE</t>
  </si>
  <si>
    <t>18 AGE IS MAX TIME REPEATED MEANS AT THIS AGE PEOPLE TAKE INSURANCE MOSTLY</t>
  </si>
  <si>
    <t>ABOVE 40 AGE PEOPLE PAY HIGH CHARGES</t>
  </si>
  <si>
    <t xml:space="preserve">NO. OF FEMALE </t>
  </si>
  <si>
    <t>MOSTLY MALES TAKE INSURANCE ACCORDING TO FEMALE</t>
  </si>
  <si>
    <t>NO. OF MALE</t>
  </si>
  <si>
    <t>HIGHLIGHT</t>
  </si>
  <si>
    <t>RESULT</t>
  </si>
  <si>
    <t>&lt;18.5</t>
  </si>
  <si>
    <t xml:space="preserve">BLUE </t>
  </si>
  <si>
    <t>UNDERWEIGHT</t>
  </si>
  <si>
    <t>&gt;18.5 &amp; &lt;24.99</t>
  </si>
  <si>
    <t xml:space="preserve">GREEN </t>
  </si>
  <si>
    <t>NORMAL WEIGHT</t>
  </si>
  <si>
    <t>&gt;25 &amp; &lt;29.99</t>
  </si>
  <si>
    <t xml:space="preserve">YELLOW </t>
  </si>
  <si>
    <t>OVERWEIGHT</t>
  </si>
  <si>
    <t>&gt;30</t>
  </si>
  <si>
    <t xml:space="preserve">RED </t>
  </si>
  <si>
    <t>OBESITY</t>
  </si>
  <si>
    <t>ABOVE 25 BMI, PAY HIGH CHARGES</t>
  </si>
  <si>
    <t>AVERAGE</t>
  </si>
  <si>
    <t>HOW MANY PEOPLE WHO ARE UNDERWEIGHTED ?</t>
  </si>
  <si>
    <t>HOW MANY PEOPLE WHO ARE NORMAL WEIGHTED ?</t>
  </si>
  <si>
    <t xml:space="preserve">HEATHLY </t>
  </si>
  <si>
    <t>HOW MANY PEOPLE WHO ARE OVERWEIGHTED ?</t>
  </si>
  <si>
    <t>HOW MANY PEOPLE WHO ARE OBESITY ?</t>
  </si>
  <si>
    <t>AVERGAE AGE OF HEALTHY PERSON</t>
  </si>
  <si>
    <t>MAX NO. OF CHILDREN</t>
  </si>
  <si>
    <t>MIN NO. OF CHILDREN</t>
  </si>
  <si>
    <t>PEOPLE WHO HAVE NO CHILD</t>
  </si>
  <si>
    <t>PEOPLE WHO HAVE ONLY 1 CHILD</t>
  </si>
  <si>
    <t>PEOPLE WHO HAVE 2 CHILDREN</t>
  </si>
  <si>
    <t>PEOPLE WHO HAVE 3 CHILDREN</t>
  </si>
  <si>
    <t>PEOPLE WHO HAVE 4 CHILDREN</t>
  </si>
  <si>
    <t>PEOPLE WHO HAVE 5 CHILDREN</t>
  </si>
  <si>
    <t>NO. OF SMOKER</t>
  </si>
  <si>
    <t>MOSTLY NON - SMOKER TAKE INSURANCE POLICY</t>
  </si>
  <si>
    <t>NO. OF NON-SMOKER</t>
  </si>
  <si>
    <t xml:space="preserve">MOSTLY SMOKER'S CHARGES ARE HIGH ACCORDING TO SORTING </t>
  </si>
  <si>
    <t>NO. OF SMOKER WHO WAS FEMALE</t>
  </si>
  <si>
    <t>NO. OF SMOKER WHO WAS MALE</t>
  </si>
  <si>
    <t>NO. OF NON - SMOKER WHO WAS FEMALE</t>
  </si>
  <si>
    <t>NO. OF NON -SMOKER WHO WAS MALE</t>
  </si>
  <si>
    <t>NORTH EAST</t>
  </si>
  <si>
    <t>NORTH WEST</t>
  </si>
  <si>
    <t>SOUTH EAST</t>
  </si>
  <si>
    <t>PINK</t>
  </si>
  <si>
    <t>SOUTH WEST</t>
  </si>
  <si>
    <t xml:space="preserve">NORTH </t>
  </si>
  <si>
    <t xml:space="preserve">SOUTH </t>
  </si>
  <si>
    <t>SOUTH PEOPLE TAKE INSURANCE POLICY MOSTLY</t>
  </si>
  <si>
    <t>AVERGAGE</t>
  </si>
  <si>
    <t>Sum of CHARGES</t>
  </si>
  <si>
    <t>Grand Total</t>
  </si>
  <si>
    <t>Count of CHARGES</t>
  </si>
  <si>
    <t>Count of BMI</t>
  </si>
  <si>
    <t>no Total</t>
  </si>
  <si>
    <t>yes Total</t>
  </si>
  <si>
    <t>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</si>
</sst>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20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6.0"/>
      <color theme="9"/>
      <name val="Calibri"/>
    </font>
    <font>
      <b/>
      <sz val="14.0"/>
      <color rgb="FFFF0000"/>
      <name val="Calibri"/>
    </font>
    <font>
      <b/>
      <u/>
      <sz val="12.0"/>
      <color theme="5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sz val="11.0"/>
      <color rgb="FF0070C0"/>
      <name val="Calibri"/>
    </font>
    <font>
      <b/>
      <sz val="16.0"/>
      <color rgb="FF0070C0"/>
      <name val="Calibri"/>
    </font>
    <font>
      <b/>
      <sz val="11.0"/>
      <color rgb="FFFFC000"/>
      <name val="Calibri"/>
    </font>
    <font>
      <b/>
      <sz val="11.0"/>
      <color rgb="FF00B050"/>
      <name val="Calibri"/>
    </font>
    <font>
      <b/>
      <sz val="12.0"/>
      <color rgb="FFC55A11"/>
      <name val="Calibri"/>
    </font>
    <font>
      <b/>
      <u/>
      <sz val="12.0"/>
      <color theme="5"/>
      <name val="Calibri"/>
    </font>
    <font>
      <color theme="1"/>
      <name val="Calibri"/>
      <scheme val="minor"/>
    </font>
    <font>
      <b/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3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horizontal="center"/>
    </xf>
    <xf borderId="0" fillId="0" fontId="11" numFmtId="0" xfId="0" applyFont="1"/>
    <xf borderId="0" fillId="0" fontId="12" numFmtId="0" xfId="0" applyFont="1"/>
    <xf borderId="0" fillId="0" fontId="7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13" numFmtId="0" xfId="0" applyFont="1"/>
    <xf borderId="0" fillId="0" fontId="2" numFmtId="0" xfId="0" applyFont="1"/>
    <xf borderId="0" fillId="0" fontId="15" numFmtId="0" xfId="0" applyFont="1"/>
    <xf borderId="0" fillId="0" fontId="2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>
        <color rgb="FF9C0006"/>
      </font>
      <fill>
        <patternFill patternType="none"/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+mn-lt"/>
              </a:defRPr>
            </a:pPr>
            <a:r>
              <a:rPr b="1" i="0" sz="1800">
                <a:solidFill>
                  <a:srgbClr val="000000"/>
                </a:solidFill>
                <a:latin typeface="+mn-lt"/>
              </a:rPr>
              <a:t>BMI V/S CHARGES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DATA!$C$4:$C$1341</c:f>
            </c:numRef>
          </c:xVal>
          <c:yVal>
            <c:numRef>
              <c:f>DATA!$G$4:$G$1341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436187"/>
        <c:axId val="2005610509"/>
      </c:scatterChart>
      <c:valAx>
        <c:axId val="20114361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BMI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5610509"/>
      </c:valAx>
      <c:valAx>
        <c:axId val="2005610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CHARGES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143618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TABLE'!$A$11:$A$58</c:f>
            </c:strRef>
          </c:cat>
          <c:val>
            <c:numRef>
              <c:f>'PIVOT TABLE'!$B$11:$B$58</c:f>
              <c:numCache/>
            </c:numRef>
          </c:val>
        </c:ser>
        <c:axId val="1296422409"/>
        <c:axId val="697789726"/>
      </c:barChart>
      <c:catAx>
        <c:axId val="1296422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7789726"/>
      </c:catAx>
      <c:valAx>
        <c:axId val="697789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642240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'PIVOT TABLE'!$E$3:$E$4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TABLE'!$D$5:$D$7</c:f>
            </c:strRef>
          </c:cat>
          <c:val>
            <c:numRef>
              <c:f>'PIVOT TABLE'!$E$5:$E$7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  <a:r>
              <a:rPr b="1" i="0" sz="1400">
                <a:solidFill>
                  <a:srgbClr val="000000"/>
                </a:solidFill>
                <a:latin typeface="+mn-lt"/>
              </a:rPr>
              <a:t>SMOKER V/S CHARGES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TABLE'!$A$4:$A$6</c:f>
            </c:strRef>
          </c:cat>
          <c:val>
            <c:numRef>
              <c:f>'PIVOT TABLE'!$B$4:$B$6</c:f>
              <c:numCache/>
            </c:numRef>
          </c:val>
        </c:ser>
        <c:axId val="1164118587"/>
        <c:axId val="407433656"/>
      </c:barChart>
      <c:catAx>
        <c:axId val="11641185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SMOKER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407433656"/>
      </c:catAx>
      <c:valAx>
        <c:axId val="4074336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SUM OF CHARGES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164118587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TABLE'!$D$11:$D$714</c:f>
            </c:strRef>
          </c:cat>
          <c:val>
            <c:numRef>
              <c:f>'PIVOT TABLE'!$E$11:$E$714</c:f>
              <c:numCache/>
            </c:numRef>
          </c:val>
        </c:ser>
        <c:axId val="1295223277"/>
        <c:axId val="1939615559"/>
      </c:barChart>
      <c:catAx>
        <c:axId val="1295223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9615559"/>
      </c:catAx>
      <c:valAx>
        <c:axId val="1939615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522327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'PIVOT TABLE'!$G$11:$G$17</c:f>
            </c:strRef>
          </c:cat>
          <c:val>
            <c:numRef>
              <c:f>'PIVOT TABLE'!$H$11:$H$17</c:f>
              <c:numCache/>
            </c:numRef>
          </c:val>
          <c:smooth val="0"/>
        </c:ser>
        <c:axId val="54512778"/>
        <c:axId val="1872004155"/>
      </c:lineChart>
      <c:catAx>
        <c:axId val="54512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2004155"/>
      </c:catAx>
      <c:valAx>
        <c:axId val="1872004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51277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TABLE'!$J$5:$J$52</c:f>
            </c:strRef>
          </c:cat>
          <c:val>
            <c:numRef>
              <c:f>'PIVOT TABLE'!$K$5:$K$52</c:f>
              <c:numCache/>
            </c:numRef>
          </c:val>
        </c:ser>
        <c:axId val="1579801933"/>
        <c:axId val="319222173"/>
      </c:barChart>
      <c:catAx>
        <c:axId val="1579801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9222173"/>
      </c:catAx>
      <c:valAx>
        <c:axId val="319222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980193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CHARGES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TABLE'!$G$25:$G$29</c:f>
            </c:strRef>
          </c:cat>
          <c:val>
            <c:numRef>
              <c:f>'PIVOT TABLE'!$H$25:$H$29</c:f>
              <c:numCache/>
            </c:numRef>
          </c:val>
        </c:ser>
        <c:axId val="691264110"/>
        <c:axId val="698629527"/>
      </c:barChart>
      <c:lineChart>
        <c:varyColors val="0"/>
        <c:ser>
          <c:idx val="1"/>
          <c:order val="1"/>
          <c:tx>
            <c:v>Count of BMI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'PIVOT TABLE'!$G$25:$G$29</c:f>
            </c:strRef>
          </c:cat>
          <c:val>
            <c:numRef>
              <c:f>'PIVOT TABLE'!$I$25:$I$29</c:f>
              <c:numCache/>
            </c:numRef>
          </c:val>
          <c:smooth val="0"/>
        </c:ser>
        <c:axId val="691264110"/>
        <c:axId val="698629527"/>
      </c:lineChart>
      <c:catAx>
        <c:axId val="691264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8629527"/>
      </c:catAx>
      <c:valAx>
        <c:axId val="698629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126411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  <a:r>
              <a:rPr b="1" i="0" sz="1400">
                <a:solidFill>
                  <a:srgbClr val="000000"/>
                </a:solidFill>
                <a:latin typeface="+mn-lt"/>
              </a:rPr>
              <a:t>SMOKER V/S SUM OFCHARGES</a:t>
            </a:r>
          </a:p>
        </c:rich>
      </c:tx>
      <c:layout>
        <c:manualLayout>
          <c:xMode val="edge"/>
          <c:yMode val="edge"/>
          <c:x val="0.394752807538402"/>
          <c:y val="0.08694225721784776"/>
        </c:manualLayout>
      </c:layout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TABLE'!$A$4:$A$6</c:f>
            </c:strRef>
          </c:cat>
          <c:val>
            <c:numRef>
              <c:f>'PIVOT TABLE'!$B$4:$B$6</c:f>
              <c:numCache/>
            </c:numRef>
          </c:val>
        </c:ser>
        <c:axId val="78344513"/>
        <c:axId val="350977494"/>
      </c:barChart>
      <c:catAx>
        <c:axId val="783445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SMOKER</a:t>
                </a:r>
              </a:p>
            </c:rich>
          </c:tx>
          <c:layout>
            <c:manualLayout>
              <c:xMode val="edge"/>
              <c:yMode val="edge"/>
              <c:x val="0.01800794833581719"/>
              <c:y val="0.2582206911636046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350977494"/>
      </c:catAx>
      <c:valAx>
        <c:axId val="3509774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SUM OF CHARGES</a:t>
                </a:r>
              </a:p>
            </c:rich>
          </c:tx>
          <c:layout>
            <c:manualLayout>
              <c:xMode val="edge"/>
              <c:yMode val="edge"/>
              <c:x val="0.42632162596664985"/>
              <c:y val="0.86995370370370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78344513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+mn-lt"/>
              </a:defRPr>
            </a:pPr>
            <a:r>
              <a:rPr b="1" i="0" sz="1600">
                <a:solidFill>
                  <a:srgbClr val="000000"/>
                </a:solidFill>
                <a:latin typeface="+mn-lt"/>
              </a:rPr>
              <a:t>AGE V/S SUM OF CHARGES</a:t>
            </a:r>
          </a:p>
        </c:rich>
      </c:tx>
      <c:layout>
        <c:manualLayout>
          <c:xMode val="edge"/>
          <c:yMode val="edge"/>
          <c:x val="0.3589173716808972"/>
          <c:y val="0.0890969709867347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TABLE'!$A$11:$A$58</c:f>
            </c:strRef>
          </c:cat>
          <c:val>
            <c:numRef>
              <c:f>'PIVOT TABLE'!$B$11:$B$58</c:f>
              <c:numCache/>
            </c:numRef>
          </c:val>
        </c:ser>
        <c:axId val="744329489"/>
        <c:axId val="1944870932"/>
      </c:barChart>
      <c:catAx>
        <c:axId val="744329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944870932"/>
      </c:catAx>
      <c:valAx>
        <c:axId val="1944870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SUM OF CHARGES</a:t>
                </a:r>
              </a:p>
            </c:rich>
          </c:tx>
          <c:layout>
            <c:manualLayout>
              <c:xMode val="edge"/>
              <c:yMode val="edge"/>
              <c:x val="0.014474772539288668"/>
              <c:y val="0.2054486770234802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744329489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GENDER V/S SUM OF CHARGES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TABLE'!$E$3:$E$4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TABLE'!$D$5:$D$7</c:f>
            </c:strRef>
          </c:cat>
          <c:val>
            <c:numRef>
              <c:f>'PIVOT TABLE'!$E$5:$E$7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  <a:r>
              <a:rPr b="1" i="0" sz="1400">
                <a:solidFill>
                  <a:srgbClr val="000000"/>
                </a:solidFill>
                <a:latin typeface="+mn-lt"/>
              </a:rPr>
              <a:t>COUNT OF CHARGES ACCO. TO NO. OF CHILDREN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TABLE'!$G$11:$G$17</c:f>
            </c:strRef>
          </c:cat>
          <c:val>
            <c:numRef>
              <c:f>'PIVOT TABLE'!$H$11:$H$17</c:f>
              <c:numCache/>
            </c:numRef>
          </c:val>
          <c:smooth val="0"/>
        </c:ser>
        <c:axId val="1001534677"/>
        <c:axId val="2082938288"/>
      </c:lineChart>
      <c:catAx>
        <c:axId val="1001534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100">
                    <a:solidFill>
                      <a:srgbClr val="000000"/>
                    </a:solidFill>
                    <a:latin typeface="+mn-lt"/>
                  </a:rPr>
                  <a:t>NO. OF CHILDREN </a:t>
                </a:r>
              </a:p>
            </c:rich>
          </c:tx>
          <c:layout>
            <c:manualLayout>
              <c:xMode val="edge"/>
              <c:yMode val="edge"/>
              <c:x val="0.3533428167805861"/>
              <c:y val="0.892548483522893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+mn-lt"/>
              </a:defRPr>
            </a:pPr>
          </a:p>
        </c:txPr>
        <c:crossAx val="2082938288"/>
      </c:catAx>
      <c:valAx>
        <c:axId val="2082938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COUNT OF CHARGES</a:t>
                </a:r>
              </a:p>
            </c:rich>
          </c:tx>
          <c:layout>
            <c:manualLayout>
              <c:xMode val="edge"/>
              <c:yMode val="edge"/>
              <c:x val="0.014992503748125937"/>
              <c:y val="0.3090350685331000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+mn-lt"/>
              </a:defRPr>
            </a:pPr>
          </a:p>
        </c:txPr>
        <c:crossAx val="1001534677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BMI, AGE V/S SUM OF CHARGES</a:t>
            </a:r>
          </a:p>
        </c:rich>
      </c:tx>
      <c:layout>
        <c:manualLayout>
          <c:xMode val="edge"/>
          <c:yMode val="edge"/>
          <c:x val="0.2731349780414316"/>
          <c:y val="0.155365995917177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TABLE'!$J$5:$J$52</c:f>
            </c:strRef>
          </c:cat>
          <c:val>
            <c:numRef>
              <c:f>'PIVOT TABLE'!$K$5:$K$52</c:f>
              <c:numCache/>
            </c:numRef>
          </c:val>
        </c:ser>
        <c:axId val="571309698"/>
        <c:axId val="1977609564"/>
      </c:barChart>
      <c:catAx>
        <c:axId val="571309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layout>
            <c:manualLayout>
              <c:xMode val="edge"/>
              <c:yMode val="edge"/>
              <c:x val="0.5077827509539112"/>
              <c:y val="0.8617151501895597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+mn-lt"/>
              </a:defRPr>
            </a:pPr>
          </a:p>
        </c:txPr>
        <c:crossAx val="1977609564"/>
      </c:catAx>
      <c:valAx>
        <c:axId val="1977609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100">
                    <a:solidFill>
                      <a:srgbClr val="000000"/>
                    </a:solidFill>
                    <a:latin typeface="+mn-lt"/>
                  </a:rPr>
                  <a:t>SUM OF CHARGES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+mn-lt"/>
              </a:defRPr>
            </a:pPr>
          </a:p>
        </c:txPr>
        <c:crossAx val="571309698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  <a:r>
              <a:rPr b="0" i="0" sz="1200">
                <a:solidFill>
                  <a:srgbClr val="000000"/>
                </a:solidFill>
                <a:latin typeface="+mn-lt"/>
              </a:rPr>
              <a:t>BMI, SMOKER V/S SUM OF CHARGES</a:t>
            </a:r>
          </a:p>
        </c:rich>
      </c:tx>
      <c:layout>
        <c:manualLayout>
          <c:xMode val="edge"/>
          <c:yMode val="edge"/>
          <c:x val="0.27433993399339934"/>
          <c:y val="0.1008311461067366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TABLE'!$D$11:$D$714</c:f>
            </c:strRef>
          </c:cat>
          <c:val>
            <c:numRef>
              <c:f>'PIVOT TABLE'!$E$11:$E$714</c:f>
              <c:numCache/>
            </c:numRef>
          </c:val>
        </c:ser>
        <c:axId val="101945510"/>
        <c:axId val="306673411"/>
      </c:barChart>
      <c:catAx>
        <c:axId val="101945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BMI AND SMOKER</a:t>
                </a:r>
              </a:p>
            </c:rich>
          </c:tx>
          <c:layout>
            <c:manualLayout>
              <c:xMode val="edge"/>
              <c:yMode val="edge"/>
              <c:x val="0.461644870195681"/>
              <c:y val="0.821298483522893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306673411"/>
      </c:catAx>
      <c:valAx>
        <c:axId val="306673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SUM OF CAHRGES</a:t>
                </a:r>
              </a:p>
            </c:rich>
          </c:tx>
          <c:layout>
            <c:manualLayout>
              <c:xMode val="edge"/>
              <c:yMode val="edge"/>
              <c:x val="0.020627062706270627"/>
              <c:y val="0.2128335520559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01945510"/>
      </c:valAx>
    </c:plotArea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5953125" cy="3400425"/>
    <xdr:graphicFrame>
      <xdr:nvGraphicFramePr>
        <xdr:cNvPr id="89380520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104775</xdr:colOff>
      <xdr:row>15</xdr:row>
      <xdr:rowOff>85725</xdr:rowOff>
    </xdr:from>
    <xdr:ext cx="4181475" cy="2714625"/>
    <xdr:graphicFrame>
      <xdr:nvGraphicFramePr>
        <xdr:cNvPr id="207771123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104775</xdr:colOff>
      <xdr:row>0</xdr:row>
      <xdr:rowOff>0</xdr:rowOff>
    </xdr:from>
    <xdr:ext cx="4181475" cy="2714625"/>
    <xdr:graphicFrame>
      <xdr:nvGraphicFramePr>
        <xdr:cNvPr id="80554673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104775</xdr:colOff>
      <xdr:row>30</xdr:row>
      <xdr:rowOff>180975</xdr:rowOff>
    </xdr:from>
    <xdr:ext cx="4181475" cy="2714625"/>
    <xdr:graphicFrame>
      <xdr:nvGraphicFramePr>
        <xdr:cNvPr id="1467668151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23</xdr:col>
      <xdr:colOff>514350</xdr:colOff>
      <xdr:row>15</xdr:row>
      <xdr:rowOff>95250</xdr:rowOff>
    </xdr:from>
    <xdr:ext cx="3838575" cy="2714625"/>
    <xdr:graphicFrame>
      <xdr:nvGraphicFramePr>
        <xdr:cNvPr id="658013940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23</xdr:col>
      <xdr:colOff>514350</xdr:colOff>
      <xdr:row>0</xdr:row>
      <xdr:rowOff>0</xdr:rowOff>
    </xdr:from>
    <xdr:ext cx="3667125" cy="2714625"/>
    <xdr:graphicFrame>
      <xdr:nvGraphicFramePr>
        <xdr:cNvPr id="970557912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30</xdr:col>
      <xdr:colOff>257175</xdr:colOff>
      <xdr:row>0</xdr:row>
      <xdr:rowOff>57150</xdr:rowOff>
    </xdr:from>
    <xdr:ext cx="3800475" cy="2714625"/>
    <xdr:graphicFrame>
      <xdr:nvGraphicFramePr>
        <xdr:cNvPr id="709060896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23</xdr:col>
      <xdr:colOff>514350</xdr:colOff>
      <xdr:row>30</xdr:row>
      <xdr:rowOff>133350</xdr:rowOff>
    </xdr:from>
    <xdr:ext cx="3838575" cy="2714625"/>
    <xdr:graphicFrame>
      <xdr:nvGraphicFramePr>
        <xdr:cNvPr id="2004226531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76200</xdr:rowOff>
    </xdr:from>
    <xdr:ext cx="4876800" cy="2714625"/>
    <xdr:graphicFrame>
      <xdr:nvGraphicFramePr>
        <xdr:cNvPr id="1102132615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0</xdr:colOff>
      <xdr:row>1</xdr:row>
      <xdr:rowOff>66675</xdr:rowOff>
    </xdr:from>
    <xdr:ext cx="5848350" cy="2790825"/>
    <xdr:graphicFrame>
      <xdr:nvGraphicFramePr>
        <xdr:cNvPr id="1356268733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142875</xdr:colOff>
      <xdr:row>20</xdr:row>
      <xdr:rowOff>0</xdr:rowOff>
    </xdr:from>
    <xdr:ext cx="4876800" cy="2714625"/>
    <xdr:graphicFrame>
      <xdr:nvGraphicFramePr>
        <xdr:cNvPr id="121897753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190500</xdr:colOff>
      <xdr:row>39</xdr:row>
      <xdr:rowOff>0</xdr:rowOff>
    </xdr:from>
    <xdr:ext cx="4848225" cy="2714625"/>
    <xdr:graphicFrame>
      <xdr:nvGraphicFramePr>
        <xdr:cNvPr id="802981420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0</xdr:colOff>
      <xdr:row>39</xdr:row>
      <xdr:rowOff>0</xdr:rowOff>
    </xdr:from>
    <xdr:ext cx="5886450" cy="2714625"/>
    <xdr:graphicFrame>
      <xdr:nvGraphicFramePr>
        <xdr:cNvPr id="12829589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0</xdr:colOff>
      <xdr:row>20</xdr:row>
      <xdr:rowOff>0</xdr:rowOff>
    </xdr:from>
    <xdr:ext cx="5943600" cy="2714625"/>
    <xdr:graphicFrame>
      <xdr:nvGraphicFramePr>
        <xdr:cNvPr id="1231773267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G1341" sheet="DATA"/>
  </cacheSource>
  <cacheFields>
    <cacheField name="AGE" numFmtId="0">
      <sharedItems containsSemiMixedTypes="0" containsString="0" containsNumber="1" containsInteger="1">
        <n v="19.0"/>
        <n v="18.0"/>
        <n v="28.0"/>
        <n v="33.0"/>
        <n v="32.0"/>
        <n v="31.0"/>
        <n v="46.0"/>
        <n v="37.0"/>
        <n v="60.0"/>
        <n v="25.0"/>
        <n v="62.0"/>
        <n v="23.0"/>
        <n v="56.0"/>
        <n v="27.0"/>
        <n v="52.0"/>
        <n v="30.0"/>
        <n v="34.0"/>
        <n v="59.0"/>
        <n v="63.0"/>
        <n v="55.0"/>
        <n v="22.0"/>
        <n v="26.0"/>
        <n v="35.0"/>
        <n v="24.0"/>
        <n v="41.0"/>
        <n v="38.0"/>
        <n v="36.0"/>
        <n v="21.0"/>
        <n v="48.0"/>
        <n v="40.0"/>
        <n v="58.0"/>
        <n v="53.0"/>
        <n v="43.0"/>
        <n v="64.0"/>
        <n v="20.0"/>
        <n v="61.0"/>
        <n v="44.0"/>
        <n v="57.0"/>
        <n v="29.0"/>
        <n v="45.0"/>
        <n v="54.0"/>
        <n v="49.0"/>
        <n v="47.0"/>
        <n v="51.0"/>
        <n v="42.0"/>
        <n v="50.0"/>
        <n v="39.0"/>
      </sharedItems>
    </cacheField>
    <cacheField name="SEX" numFmtId="0">
      <sharedItems>
        <s v="female"/>
        <s v="male"/>
      </sharedItems>
    </cacheField>
    <cacheField name="BMI" numFmtId="0">
      <sharedItems containsSemiMixedTypes="0" containsString="0" containsNumber="1">
        <n v="27.9"/>
        <n v="33.77"/>
        <n v="33.0"/>
        <n v="22.705"/>
        <n v="28.88"/>
        <n v="25.74"/>
        <n v="33.44"/>
        <n v="27.74"/>
        <n v="29.83"/>
        <n v="25.84"/>
        <n v="26.22"/>
        <n v="26.29"/>
        <n v="34.4"/>
        <n v="39.82"/>
        <n v="42.13"/>
        <n v="24.6"/>
        <n v="30.78"/>
        <n v="23.845"/>
        <n v="40.3"/>
        <n v="35.3"/>
        <n v="36.005"/>
        <n v="32.4"/>
        <n v="34.1"/>
        <n v="31.92"/>
        <n v="28.025"/>
        <n v="27.72"/>
        <n v="23.085"/>
        <n v="32.775"/>
        <n v="17.385"/>
        <n v="36.3"/>
        <n v="35.6"/>
        <n v="26.315"/>
        <n v="28.6"/>
        <n v="28.31"/>
        <n v="36.4"/>
        <n v="20.425"/>
        <n v="32.965"/>
        <n v="20.8"/>
        <n v="36.67"/>
        <n v="39.9"/>
        <n v="26.6"/>
        <n v="36.63"/>
        <n v="21.78"/>
        <n v="30.8"/>
        <n v="37.05"/>
        <n v="37.3"/>
        <n v="38.665"/>
        <n v="34.77"/>
        <n v="24.53"/>
        <n v="35.2"/>
        <n v="35.625"/>
        <n v="33.63"/>
        <n v="28.0"/>
        <n v="34.43"/>
        <n v="28.69"/>
        <n v="36.955"/>
        <n v="31.825"/>
        <n v="31.68"/>
        <n v="22.88"/>
        <n v="37.335"/>
        <n v="27.36"/>
        <n v="33.66"/>
        <n v="24.7"/>
        <n v="25.935"/>
        <n v="22.42"/>
        <n v="28.9"/>
        <n v="39.1"/>
        <n v="36.19"/>
        <n v="23.98"/>
        <n v="24.75"/>
        <n v="28.5"/>
        <n v="28.1"/>
        <n v="32.01"/>
        <n v="27.4"/>
        <n v="34.01"/>
        <n v="29.59"/>
        <n v="35.53"/>
        <n v="39.805"/>
        <n v="26.885"/>
        <n v="38.285"/>
        <n v="37.62"/>
        <n v="41.23"/>
        <n v="34.8"/>
        <n v="22.895"/>
        <n v="31.16"/>
        <n v="27.2"/>
        <n v="26.98"/>
        <n v="39.49"/>
        <n v="24.795"/>
        <n v="31.3"/>
        <n v="38.28"/>
        <n v="19.95"/>
        <n v="19.3"/>
        <n v="31.6"/>
        <n v="25.46"/>
        <n v="30.115"/>
        <n v="29.92"/>
        <n v="27.5"/>
        <n v="28.4"/>
        <n v="30.875"/>
        <n v="27.94"/>
        <n v="35.09"/>
        <n v="29.7"/>
        <n v="35.72"/>
        <n v="32.205"/>
        <n v="28.595"/>
        <n v="49.06"/>
        <n v="27.17"/>
        <n v="23.37"/>
        <n v="37.1"/>
        <n v="23.75"/>
        <n v="28.975"/>
        <n v="31.35"/>
        <n v="33.915"/>
        <n v="28.785"/>
        <n v="28.3"/>
        <n v="37.4"/>
        <n v="17.765"/>
        <n v="34.7"/>
        <n v="26.505"/>
        <n v="22.04"/>
        <n v="35.9"/>
        <n v="25.555"/>
        <n v="28.05"/>
        <n v="25.175"/>
        <n v="31.9"/>
        <n v="36.0"/>
        <n v="32.49"/>
        <n v="25.3"/>
        <n v="29.735"/>
        <n v="38.83"/>
        <n v="30.495"/>
        <n v="37.73"/>
        <n v="37.43"/>
        <n v="24.13"/>
        <n v="37.145"/>
        <n v="39.52"/>
        <n v="24.42"/>
        <n v="27.83"/>
        <n v="36.85"/>
        <n v="39.6"/>
        <n v="29.8"/>
        <n v="29.64"/>
        <n v="28.215"/>
        <n v="37.0"/>
        <n v="33.155"/>
        <n v="18.905"/>
        <n v="41.47"/>
        <n v="30.3"/>
        <n v="15.96"/>
        <n v="33.345"/>
        <n v="37.7"/>
        <n v="27.835"/>
        <n v="29.2"/>
        <n v="26.41"/>
        <n v="30.69"/>
        <n v="41.895"/>
        <n v="30.9"/>
        <n v="32.2"/>
        <n v="32.11"/>
        <n v="31.57"/>
        <n v="26.2"/>
        <n v="30.59"/>
        <n v="32.8"/>
        <n v="18.05"/>
        <n v="39.33"/>
        <n v="32.23"/>
        <n v="24.035"/>
        <n v="36.08"/>
        <n v="22.3"/>
        <n v="26.4"/>
        <n v="31.8"/>
        <n v="26.73"/>
        <n v="23.1"/>
        <n v="23.21"/>
        <n v="33.7"/>
        <n v="33.25"/>
        <n v="24.64"/>
        <n v="33.88"/>
        <n v="38.06"/>
        <n v="41.91"/>
        <n v="31.635"/>
        <n v="36.195"/>
        <n v="17.8"/>
        <n v="24.51"/>
        <n v="22.22"/>
        <n v="38.39"/>
        <n v="29.07"/>
        <n v="22.135"/>
        <n v="26.8"/>
        <n v="30.02"/>
        <n v="35.86"/>
        <n v="20.9"/>
        <n v="17.29"/>
        <n v="34.21"/>
        <n v="25.365"/>
        <n v="40.15"/>
        <n v="24.415"/>
        <n v="25.2"/>
        <n v="26.84"/>
        <n v="24.32"/>
        <n v="42.35"/>
        <n v="19.8"/>
        <n v="32.395"/>
        <n v="30.2"/>
        <n v="29.37"/>
        <n v="34.2"/>
        <n v="27.455"/>
        <n v="27.55"/>
        <n v="20.615"/>
        <n v="24.3"/>
        <n v="31.79"/>
        <n v="21.56"/>
        <n v="28.12"/>
        <n v="40.565"/>
        <n v="27.645"/>
        <n v="31.2"/>
        <n v="26.62"/>
        <n v="48.07"/>
        <n v="36.765"/>
        <n v="33.4"/>
        <n v="45.54"/>
        <n v="28.82"/>
        <n v="22.99"/>
        <n v="27.7"/>
        <n v="25.41"/>
        <n v="34.39"/>
        <n v="22.61"/>
        <n v="37.51"/>
        <n v="38.0"/>
        <n v="33.33"/>
        <n v="34.865"/>
        <n v="33.06"/>
        <n v="35.97"/>
        <n v="31.4"/>
        <n v="25.27"/>
        <n v="40.945"/>
        <n v="34.105"/>
        <n v="36.48"/>
        <n v="33.8"/>
        <n v="36.7"/>
        <n v="36.385"/>
        <n v="34.5"/>
        <n v="32.3"/>
        <n v="27.6"/>
        <n v="29.26"/>
        <n v="35.75"/>
        <n v="23.18"/>
        <n v="25.6"/>
        <n v="35.245"/>
        <n v="43.89"/>
        <n v="20.79"/>
        <n v="30.5"/>
        <n v="21.7"/>
        <n v="21.89"/>
        <n v="24.985"/>
        <n v="32.015"/>
        <n v="30.4"/>
        <n v="21.09"/>
        <n v="22.23"/>
        <n v="32.9"/>
        <n v="24.89"/>
        <n v="31.46"/>
        <n v="17.955"/>
        <n v="30.685"/>
        <n v="43.34"/>
        <n v="39.05"/>
        <n v="30.21"/>
        <n v="31.445"/>
        <n v="19.855"/>
        <n v="31.02"/>
        <n v="38.17"/>
        <n v="20.6"/>
        <n v="47.52"/>
        <n v="20.4"/>
        <n v="38.38"/>
        <n v="24.31"/>
        <n v="23.6"/>
        <n v="21.12"/>
        <n v="30.03"/>
        <n v="17.48"/>
        <n v="20.235"/>
        <n v="17.195"/>
        <n v="23.9"/>
        <n v="35.15"/>
        <n v="35.64"/>
        <n v="22.6"/>
        <n v="39.16"/>
        <n v="27.265"/>
        <n v="29.165"/>
        <n v="16.815"/>
        <n v="33.1"/>
        <n v="26.9"/>
        <n v="33.11"/>
        <n v="31.73"/>
        <n v="46.75"/>
        <n v="29.45"/>
        <n v="32.68"/>
        <n v="33.5"/>
        <n v="43.01"/>
        <n v="36.52"/>
        <n v="26.695"/>
        <n v="25.65"/>
        <n v="29.6"/>
        <n v="38.6"/>
        <n v="23.4"/>
        <n v="46.53"/>
        <n v="30.14"/>
        <n v="30.0"/>
        <n v="38.095"/>
        <n v="28.38"/>
        <n v="28.7"/>
        <n v="33.82"/>
        <n v="24.09"/>
        <n v="32.67"/>
        <n v="25.1"/>
        <n v="32.56"/>
        <n v="41.325"/>
        <n v="39.5"/>
        <n v="34.3"/>
        <n v="31.065"/>
        <n v="21.47"/>
        <n v="25.08"/>
        <n v="43.4"/>
        <n v="25.7"/>
        <n v="27.93"/>
        <n v="39.2"/>
        <n v="26.03"/>
        <n v="30.25"/>
        <n v="28.93"/>
        <n v="35.7"/>
        <n v="35.31"/>
        <n v="31.0"/>
        <n v="44.22"/>
        <n v="26.07"/>
        <n v="25.8"/>
        <n v="39.425"/>
        <n v="40.48"/>
        <n v="38.9"/>
        <n v="47.41"/>
        <n v="35.435"/>
        <n v="46.7"/>
        <n v="46.2"/>
        <n v="21.4"/>
        <n v="23.8"/>
        <n v="44.77"/>
        <n v="32.12"/>
        <n v="29.1"/>
        <n v="37.29"/>
        <n v="43.12"/>
        <n v="36.86"/>
        <n v="34.295"/>
        <n v="23.465"/>
        <n v="45.43"/>
        <n v="23.65"/>
        <n v="20.7"/>
        <n v="28.27"/>
        <n v="35.91"/>
        <n v="29.0"/>
        <n v="19.57"/>
        <n v="31.13"/>
        <n v="21.85"/>
        <n v="40.26"/>
        <n v="33.725"/>
        <n v="29.48"/>
        <n v="32.6"/>
        <n v="37.525"/>
        <n v="23.655"/>
        <n v="37.8"/>
        <n v="19.0"/>
        <n v="21.3"/>
        <n v="33.535"/>
        <n v="42.46"/>
        <n v="38.95"/>
        <n v="36.1"/>
        <n v="29.3"/>
        <n v="39.7"/>
        <n v="38.19"/>
        <n v="42.4"/>
        <n v="34.96"/>
        <n v="42.68"/>
        <n v="31.54"/>
        <n v="29.81"/>
        <n v="21.375"/>
        <n v="40.81"/>
        <n v="17.4"/>
        <n v="20.3"/>
        <n v="18.5"/>
        <n v="26.125"/>
        <n v="41.69"/>
        <n v="24.1"/>
        <n v="36.2"/>
        <n v="40.185"/>
        <n v="39.27"/>
        <n v="34.87"/>
        <n v="44.745"/>
        <n v="29.545"/>
        <n v="23.54"/>
        <n v="40.47"/>
        <n v="40.66"/>
        <n v="36.6"/>
        <n v="35.4"/>
        <n v="27.075"/>
        <n v="28.405"/>
        <n v="21.755"/>
        <n v="40.28"/>
        <n v="30.1"/>
        <n v="32.1"/>
        <n v="23.7"/>
        <n v="35.5"/>
        <n v="29.15"/>
        <n v="27.0"/>
        <n v="37.905"/>
        <n v="22.77"/>
        <n v="22.8"/>
        <n v="34.58"/>
        <n v="27.1"/>
        <n v="19.475"/>
        <n v="26.7"/>
        <n v="34.32"/>
        <n v="24.4"/>
        <n v="41.14"/>
        <n v="22.515"/>
        <n v="41.8"/>
        <n v="26.18"/>
        <n v="42.24"/>
        <n v="26.51"/>
        <n v="35.815"/>
        <n v="41.42"/>
        <n v="36.575"/>
        <n v="42.94"/>
        <n v="21.01"/>
        <n v="24.225"/>
        <n v="17.67"/>
        <n v="31.5"/>
        <n v="31.1"/>
        <n v="32.78"/>
        <n v="32.45"/>
        <n v="50.38"/>
        <n v="47.6"/>
        <n v="25.4"/>
        <n v="29.9"/>
        <n v="43.7"/>
        <n v="24.86"/>
        <n v="28.8"/>
        <n v="29.5"/>
        <n v="29.04"/>
        <n v="38.94"/>
        <n v="44.0"/>
        <n v="20.045"/>
        <n v="40.92"/>
        <n v="35.1"/>
        <n v="29.355"/>
        <n v="32.585"/>
        <n v="32.34"/>
        <n v="39.8"/>
        <n v="24.605"/>
        <n v="33.99"/>
        <n v="28.2"/>
        <n v="25.0"/>
        <n v="33.2"/>
        <n v="23.2"/>
        <n v="20.1"/>
        <n v="32.5"/>
        <n v="37.18"/>
        <n v="46.09"/>
        <n v="39.93"/>
        <n v="35.8"/>
        <n v="31.255"/>
        <n v="18.335"/>
        <n v="42.9"/>
        <n v="26.79"/>
        <n v="39.615"/>
        <n v="25.9"/>
        <n v="25.745"/>
        <n v="28.16"/>
        <n v="23.56"/>
        <n v="40.5"/>
        <n v="35.42"/>
        <n v="39.995"/>
        <n v="34.675"/>
        <n v="20.52"/>
        <n v="23.275"/>
        <n v="36.29"/>
        <n v="32.7"/>
        <n v="19.19"/>
        <n v="20.13"/>
        <n v="23.32"/>
        <n v="45.32"/>
        <n v="34.6"/>
        <n v="18.715"/>
        <n v="21.565"/>
        <n v="23.0"/>
        <n v="37.07"/>
        <n v="52.58"/>
        <n v="42.655"/>
        <n v="21.66"/>
        <n v="32.0"/>
        <n v="18.3"/>
        <n v="47.74"/>
        <n v="22.1"/>
        <n v="19.095"/>
        <n v="31.24"/>
        <n v="29.925"/>
        <n v="20.35"/>
        <n v="25.85"/>
        <n v="42.75"/>
        <n v="18.6"/>
        <n v="23.87"/>
        <n v="45.9"/>
        <n v="21.5"/>
        <n v="30.305"/>
        <n v="44.88"/>
        <n v="41.1"/>
        <n v="40.37"/>
        <n v="28.49"/>
        <n v="33.55"/>
        <n v="40.375"/>
        <n v="27.28"/>
        <n v="17.86"/>
        <n v="33.3"/>
        <n v="39.14"/>
        <n v="21.945"/>
        <n v="24.97"/>
        <n v="23.94"/>
        <n v="34.485"/>
        <n v="21.8"/>
        <n v="23.3"/>
        <n v="36.96"/>
        <n v="21.28"/>
        <n v="29.4"/>
        <n v="27.3"/>
        <n v="37.9"/>
        <n v="37.715"/>
        <n v="23.76"/>
        <n v="25.52"/>
        <n v="27.61"/>
        <n v="27.06"/>
        <n v="39.4"/>
        <n v="34.9"/>
        <n v="22.0"/>
        <n v="30.36"/>
        <n v="27.8"/>
        <n v="53.13"/>
        <n v="39.71"/>
        <n v="32.87"/>
        <n v="44.7"/>
        <n v="30.97"/>
      </sharedItems>
    </cacheField>
    <cacheField name="CHILDREN" numFmtId="0">
      <sharedItems containsSemiMixedTypes="0" containsString="0" containsNumber="1" containsInteger="1">
        <n v="0.0"/>
        <n v="1.0"/>
        <n v="3.0"/>
        <n v="2.0"/>
        <n v="5.0"/>
        <n v="4.0"/>
      </sharedItems>
    </cacheField>
    <cacheField name="SMOKER" numFmtId="0">
      <sharedItems>
        <s v="yes"/>
        <s v="no"/>
      </sharedItems>
    </cacheField>
    <cacheField name="REGION" numFmtId="0">
      <sharedItems>
        <s v="southwest"/>
        <s v="southeast"/>
        <s v="northwest"/>
        <s v="northeast"/>
      </sharedItems>
    </cacheField>
    <cacheField name="CHARGES" numFmtId="0">
      <sharedItems containsSemiMixedTypes="0" containsString="0" containsNumber="1">
        <n v="16884.924"/>
        <n v="1725.5523"/>
        <n v="4449.462"/>
        <n v="21984.47061"/>
        <n v="3866.8552"/>
        <n v="3756.6216"/>
        <n v="8240.5896"/>
        <n v="7281.5056"/>
        <n v="6406.4107"/>
        <n v="28923.13692"/>
        <n v="2721.3208"/>
        <n v="27808.7251"/>
        <n v="1826.843"/>
        <n v="11090.7178"/>
        <n v="39611.7577"/>
        <n v="1837.237"/>
        <n v="10797.3362"/>
        <n v="2395.17155"/>
        <n v="10602.385"/>
        <n v="36837.467"/>
        <n v="13228.84695"/>
        <n v="4149.736"/>
        <n v="1137.011"/>
        <n v="37701.8768"/>
        <n v="6203.90175"/>
        <n v="14001.1338"/>
        <n v="14451.83515"/>
        <n v="12268.63225"/>
        <n v="2775.19215"/>
        <n v="38711.0"/>
        <n v="35585.576"/>
        <n v="2198.18985"/>
        <n v="4687.797"/>
        <n v="13770.0979"/>
        <n v="51194.55914"/>
        <n v="1625.43375"/>
        <n v="15612.19335"/>
        <n v="2302.3"/>
        <n v="39774.2763"/>
        <n v="48173.361"/>
        <n v="3046.062"/>
        <n v="4949.7587"/>
        <n v="6272.4772"/>
        <n v="6313.759"/>
        <n v="6079.6715"/>
        <n v="20630.28351"/>
        <n v="3393.35635"/>
        <n v="3556.9223"/>
        <n v="12629.8967"/>
        <n v="38709.176"/>
        <n v="2211.13075"/>
        <n v="3579.8287"/>
        <n v="23568.272"/>
        <n v="37742.5757"/>
        <n v="8059.6791"/>
        <n v="47496.49445"/>
        <n v="13607.36875"/>
        <n v="34303.1672"/>
        <n v="23244.7902"/>
        <n v="5989.52365"/>
        <n v="8606.2174"/>
        <n v="4504.6624"/>
        <n v="30166.61817"/>
        <n v="4133.64165"/>
        <n v="14711.7438"/>
        <n v="1743.214"/>
        <n v="14235.072"/>
        <n v="6389.37785"/>
        <n v="5920.1041"/>
        <n v="17663.1442"/>
        <n v="16577.7795"/>
        <n v="6799.458"/>
        <n v="11741.726"/>
        <n v="11946.6259"/>
        <n v="7726.854"/>
        <n v="11356.6609"/>
        <n v="3947.4131"/>
        <n v="1532.4697"/>
        <n v="2755.02095"/>
        <n v="6571.02435"/>
        <n v="4441.21315"/>
        <n v="7935.29115"/>
        <n v="37165.1638"/>
        <n v="11033.6617"/>
        <n v="39836.519"/>
        <n v="21098.55405"/>
        <n v="43578.9394"/>
        <n v="11073.176"/>
        <n v="8026.6666"/>
        <n v="11082.5772"/>
        <n v="2026.9741"/>
        <n v="10942.13205"/>
        <n v="30184.9367"/>
        <n v="5729.0053"/>
        <n v="47291.055"/>
        <n v="3766.8838"/>
        <n v="12105.32"/>
        <n v="10226.2842"/>
        <n v="22412.6485"/>
        <n v="15820.699"/>
        <n v="6186.127"/>
        <n v="3645.0894"/>
        <n v="21344.8467"/>
        <n v="30942.1918"/>
        <n v="5003.853"/>
        <n v="17560.37975"/>
        <n v="2331.519"/>
        <n v="3877.30425"/>
        <n v="2867.1196"/>
        <n v="47055.5321"/>
        <n v="10825.2537"/>
        <n v="11881.358"/>
        <n v="4646.759"/>
        <n v="2404.7338"/>
        <n v="11488.31695"/>
        <n v="30259.99556"/>
        <n v="11381.3254"/>
        <n v="19107.7796"/>
        <n v="8601.3293"/>
        <n v="6686.4313"/>
        <n v="7740.337"/>
        <n v="1705.6245"/>
        <n v="2257.47525"/>
        <n v="39556.4945"/>
        <n v="10115.00885"/>
        <n v="3385.39915"/>
        <n v="17081.08"/>
        <n v="9634.538"/>
        <n v="32734.1863"/>
        <n v="6082.405"/>
        <n v="12815.44495"/>
        <n v="13616.3586"/>
        <n v="11163.568"/>
        <n v="1632.56445"/>
        <n v="2457.21115"/>
        <n v="2155.6815"/>
        <n v="1261.442"/>
        <n v="2045.68525"/>
        <n v="27322.73386"/>
        <n v="2166.732"/>
        <n v="27375.90478"/>
        <n v="3490.5491"/>
        <n v="18972.495"/>
        <n v="18157.876"/>
        <n v="20745.9891"/>
        <n v="5138.2567"/>
        <n v="40720.55105"/>
        <n v="9877.6077"/>
        <n v="10959.6947"/>
        <n v="1842.519"/>
        <n v="5125.2157"/>
        <n v="7789.635"/>
        <n v="6334.34355"/>
        <n v="19964.7463"/>
        <n v="7077.1894"/>
        <n v="6948.7008"/>
        <n v="21223.6758"/>
        <n v="15518.18025"/>
        <n v="36950.2567"/>
        <n v="19749.38338"/>
        <n v="21348.706"/>
        <n v="36149.4835"/>
        <n v="10450.552"/>
        <n v="5152.134"/>
        <n v="5028.1466"/>
        <n v="10407.08585"/>
        <n v="4830.63"/>
        <n v="6128.79745"/>
        <n v="2719.27975"/>
        <n v="4827.90495"/>
        <n v="13405.3903"/>
        <n v="8116.68"/>
        <n v="1694.7964"/>
        <n v="5246.047"/>
        <n v="2855.43755"/>
        <n v="48824.45"/>
        <n v="6455.86265"/>
        <n v="10436.096"/>
        <n v="8823.279"/>
        <n v="8538.28845"/>
        <n v="11735.87905"/>
        <n v="1631.8212"/>
        <n v="4005.4225"/>
        <n v="7419.4779"/>
        <n v="7731.4271"/>
        <n v="43753.33705"/>
        <n v="3981.9768"/>
        <n v="5325.651"/>
        <n v="6775.961"/>
        <n v="4922.9159"/>
        <n v="12557.6053"/>
        <n v="4883.866"/>
        <n v="2137.6536"/>
        <n v="12044.342"/>
        <n v="1137.4697"/>
        <n v="1639.5631"/>
        <n v="5649.715"/>
        <n v="8516.829"/>
        <n v="9644.2525"/>
        <n v="14901.5167"/>
        <n v="2130.6759"/>
        <n v="8871.1517"/>
        <n v="13012.20865"/>
        <n v="37133.8982"/>
        <n v="7147.105"/>
        <n v="4337.7352"/>
        <n v="11743.299"/>
        <n v="20984.0936"/>
        <n v="13880.949"/>
        <n v="6610.1097"/>
        <n v="1980.07"/>
        <n v="8162.71625"/>
        <n v="3537.703"/>
        <n v="5002.7827"/>
        <n v="8520.026"/>
        <n v="7371.772"/>
        <n v="10355.641"/>
        <n v="2483.736"/>
        <n v="3392.9768"/>
        <n v="25081.76784"/>
        <n v="5012.471"/>
        <n v="10564.8845"/>
        <n v="5253.524"/>
        <n v="34779.615"/>
        <n v="19515.5416"/>
        <n v="11987.1682"/>
        <n v="2689.4954"/>
        <n v="24227.33724"/>
        <n v="7358.17565"/>
        <n v="9225.2564"/>
        <n v="7443.64305"/>
        <n v="14001.2867"/>
        <n v="1727.785"/>
        <n v="12333.828"/>
        <n v="6710.1919"/>
        <n v="19444.2658"/>
        <n v="1615.7667"/>
        <n v="4463.2051"/>
        <n v="17352.6803"/>
        <n v="7152.6714"/>
        <n v="38511.6283"/>
        <n v="5354.07465"/>
        <n v="35160.13457"/>
        <n v="7196.867"/>
        <n v="29523.1656"/>
        <n v="24476.47851"/>
        <n v="12648.7034"/>
        <n v="1986.9334"/>
        <n v="1832.094"/>
        <n v="4040.55825"/>
        <n v="12829.4551"/>
        <n v="47305.305"/>
        <n v="44260.7499"/>
        <n v="4260.744"/>
        <n v="41097.16175"/>
        <n v="13047.33235"/>
        <n v="43921.1837"/>
        <n v="5400.9805"/>
        <n v="11520.09985"/>
        <n v="33750.2918"/>
        <n v="11837.16"/>
        <n v="17085.2676"/>
        <n v="24869.8368"/>
        <n v="36219.40545"/>
        <n v="20462.99766"/>
        <n v="46151.1245"/>
        <n v="17179.522"/>
        <n v="14590.63205"/>
        <n v="7441.053"/>
        <n v="9282.4806"/>
        <n v="1719.4363"/>
        <n v="42856.838"/>
        <n v="7265.7025"/>
        <n v="9617.66245"/>
        <n v="2523.1695"/>
        <n v="9715.841"/>
        <n v="2803.69785"/>
        <n v="2150.469"/>
        <n v="12928.7911"/>
        <n v="9855.1314"/>
        <n v="22331.5668"/>
        <n v="48549.17835"/>
        <n v="4237.12655"/>
        <n v="11879.10405"/>
        <n v="9625.92"/>
        <n v="7742.1098"/>
        <n v="9432.9253"/>
        <n v="14256.1928"/>
        <n v="47896.79135"/>
        <n v="25992.82104"/>
        <n v="3172.018"/>
        <n v="20277.80751"/>
        <n v="42112.2356"/>
        <n v="2156.7518"/>
        <n v="3906.127"/>
        <n v="1704.5681"/>
        <n v="16297.846"/>
        <n v="21978.6769"/>
        <n v="38746.3551"/>
        <n v="9249.4952"/>
        <n v="6746.7425"/>
        <n v="24873.3849"/>
        <n v="12265.5069"/>
        <n v="4349.462"/>
        <n v="12646.207"/>
        <n v="19442.3535"/>
        <n v="20177.67113"/>
        <n v="4151.0287"/>
        <n v="11944.59435"/>
        <n v="7749.1564"/>
        <n v="8444.474"/>
        <n v="1737.376"/>
        <n v="42124.5153"/>
        <n v="8124.4084"/>
        <n v="34838.873"/>
        <n v="9722.7695"/>
        <n v="8835.26495"/>
        <n v="10435.06525"/>
        <n v="7421.19455"/>
        <n v="4667.60765"/>
        <n v="4894.7533"/>
        <n v="24671.66334"/>
        <n v="35491.64"/>
        <n v="11566.30055"/>
        <n v="2866.091"/>
        <n v="6600.20595"/>
        <n v="3561.8889"/>
        <n v="42760.5022"/>
        <n v="47928.03"/>
        <n v="9144.565"/>
        <n v="48517.56315"/>
        <n v="24393.6224"/>
        <n v="13429.0354"/>
        <n v="11658.37915"/>
        <n v="19144.57652"/>
        <n v="13822.803"/>
        <n v="12142.5786"/>
        <n v="13937.6665"/>
        <n v="41919.097"/>
        <n v="8232.6388"/>
        <n v="18955.22017"/>
        <n v="13352.0998"/>
        <n v="13217.0945"/>
        <n v="13981.85035"/>
        <n v="10977.2063"/>
        <n v="6184.2994"/>
        <n v="4889.9995"/>
        <n v="8334.45755"/>
        <n v="5478.0368"/>
        <n v="1635.73365"/>
        <n v="11830.6072"/>
        <n v="8932.084"/>
        <n v="3554.203"/>
        <n v="12404.8791"/>
        <n v="14133.03775"/>
        <n v="24603.04837"/>
        <n v="8944.1151"/>
        <n v="9620.3307"/>
        <n v="1837.2819"/>
        <n v="1607.5101"/>
        <n v="10043.249"/>
        <n v="4751.07"/>
        <n v="13844.506"/>
        <n v="2597.779"/>
        <n v="3180.5101"/>
        <n v="9778.3472"/>
        <n v="13430.265"/>
        <n v="8017.06115"/>
        <n v="8116.26885"/>
        <n v="3481.868"/>
        <n v="13415.0381"/>
        <n v="12029.2867"/>
        <n v="7639.41745"/>
        <n v="36085.219"/>
        <n v="1391.5287"/>
        <n v="18033.9679"/>
        <n v="21659.9301"/>
        <n v="38126.2465"/>
        <n v="16455.70785"/>
        <n v="27000.98473"/>
        <n v="15006.57945"/>
        <n v="42303.69215"/>
        <n v="20781.48892"/>
        <n v="5846.9176"/>
        <n v="8302.53565"/>
        <n v="1261.859"/>
        <n v="11856.4115"/>
        <n v="30284.64294"/>
        <n v="3176.8159"/>
        <n v="4618.0799"/>
        <n v="10736.87075"/>
        <n v="2138.0707"/>
        <n v="8964.06055"/>
        <n v="9290.1395"/>
        <n v="9411.005"/>
        <n v="7526.70645"/>
        <n v="8522.003"/>
        <n v="16586.49771"/>
        <n v="14988.432"/>
        <n v="1631.6683"/>
        <n v="9264.797"/>
        <n v="8083.9198"/>
        <n v="14692.66935"/>
        <n v="10269.46"/>
        <n v="3260.199"/>
        <n v="11396.9002"/>
        <n v="4185.0979"/>
        <n v="8539.671"/>
        <n v="6652.5288"/>
        <n v="4074.4537"/>
        <n v="1621.3402"/>
        <n v="19594.80965"/>
        <n v="14455.64405"/>
        <n v="5080.096"/>
        <n v="2134.9015"/>
        <n v="7345.7266"/>
        <n v="9140.951"/>
        <n v="18608.262"/>
        <n v="14418.2804"/>
        <n v="28950.4692"/>
        <n v="46889.2612"/>
        <n v="46599.1084"/>
        <n v="39125.33225"/>
        <n v="2727.3951"/>
        <n v="8968.33"/>
        <n v="9788.8659"/>
        <n v="6555.07035"/>
        <n v="7323.734819"/>
        <n v="3167.45585"/>
        <n v="18804.7524"/>
        <n v="23082.95533"/>
        <n v="4906.40965"/>
        <n v="5969.723"/>
        <n v="12638.195"/>
        <n v="4243.59005"/>
        <n v="13919.8229"/>
        <n v="2254.7967"/>
        <n v="5926.846"/>
        <n v="12592.5345"/>
        <n v="2897.3235"/>
        <n v="4738.2682"/>
        <n v="37079.372"/>
        <n v="1149.3959"/>
        <n v="28287.89766"/>
        <n v="26109.32905"/>
        <n v="7345.084"/>
        <n v="12730.9996"/>
        <n v="11454.0215"/>
        <n v="5910.944"/>
        <n v="4762.329"/>
        <n v="7512.267"/>
        <n v="4032.2407"/>
        <n v="1969.614"/>
        <n v="1769.53165"/>
        <n v="4686.3887"/>
        <n v="21797.0004"/>
        <n v="11881.9696"/>
        <n v="11840.77505"/>
        <n v="10601.412"/>
        <n v="7682.67"/>
        <n v="10381.4787"/>
        <n v="22144.032"/>
        <n v="15230.32405"/>
        <n v="11165.41765"/>
        <n v="1632.03625"/>
        <n v="19521.9682"/>
        <n v="13224.693"/>
        <n v="12643.3778"/>
        <n v="23288.9284"/>
        <n v="2201.0971"/>
        <n v="2497.0383"/>
        <n v="2203.47185"/>
        <n v="1744.465"/>
        <n v="20878.78443"/>
        <n v="25382.297"/>
        <n v="28868.6639"/>
        <n v="35147.52848"/>
        <n v="2534.39375"/>
        <n v="1534.3045"/>
        <n v="1824.2854"/>
        <n v="15555.18875"/>
        <n v="9304.7019"/>
        <n v="1622.1885"/>
        <n v="9880.068"/>
        <n v="9563.029"/>
        <n v="4347.02335"/>
        <n v="12475.3513"/>
        <n v="1253.936"/>
        <n v="48885.13561"/>
        <n v="10461.9794"/>
        <n v="1748.774"/>
        <n v="24513.09126"/>
        <n v="2196.4732"/>
        <n v="12574.049"/>
        <n v="17942.106"/>
        <n v="1967.0227"/>
        <n v="4931.647"/>
        <n v="8027.968"/>
        <n v="8211.1002"/>
        <n v="13470.86"/>
        <n v="36197.699"/>
        <n v="6837.3687"/>
        <n v="22218.1149"/>
        <n v="32548.3405"/>
        <n v="5974.3847"/>
        <n v="6796.86325"/>
        <n v="2643.2685"/>
        <n v="3077.0955"/>
        <n v="3044.2133"/>
        <n v="11455.28"/>
        <n v="11763.0009"/>
        <n v="2498.4144"/>
        <n v="9361.3268"/>
        <n v="1256.299"/>
        <n v="21082.16"/>
        <n v="11362.755"/>
        <n v="27724.28875"/>
        <n v="8413.46305"/>
        <n v="5240.765"/>
        <n v="3857.75925"/>
        <n v="25656.57526"/>
        <n v="3994.1778"/>
        <n v="9866.30485"/>
        <n v="5397.6167"/>
        <n v="38245.59327"/>
        <n v="11482.63485"/>
        <n v="24059.68019"/>
        <n v="9861.025"/>
        <n v="8342.90875"/>
        <n v="1708.0014"/>
        <n v="48675.5177"/>
        <n v="14043.4767"/>
        <n v="12925.886"/>
        <n v="19214.70553"/>
        <n v="13831.1152"/>
        <n v="6067.12675"/>
        <n v="5972.378"/>
        <n v="8825.086"/>
        <n v="8233.0975"/>
        <n v="27346.04207"/>
        <n v="6196.448"/>
        <n v="3056.3881"/>
        <n v="13887.204"/>
        <n v="63770.42801"/>
        <n v="10231.4999"/>
        <n v="23807.2406"/>
        <n v="3268.84665"/>
        <n v="11538.421"/>
        <n v="3213.62205"/>
        <n v="45863.205"/>
        <n v="13390.559"/>
        <n v="3972.9247"/>
        <n v="12957.118"/>
        <n v="11187.6567"/>
        <n v="17878.90068"/>
        <n v="3847.674"/>
        <n v="8334.5896"/>
        <n v="3935.1799"/>
        <n v="39983.42595"/>
        <n v="1646.4297"/>
        <n v="9193.8385"/>
        <n v="10923.9332"/>
        <n v="2494.022"/>
        <n v="9058.7303"/>
        <n v="2801.2588"/>
        <n v="2128.43105"/>
        <n v="6373.55735"/>
        <n v="7256.7231"/>
        <n v="11552.904"/>
        <n v="45702.02235"/>
        <n v="3761.292"/>
        <n v="2219.4451"/>
        <n v="4753.6368"/>
        <n v="31620.00106"/>
        <n v="13224.05705"/>
        <n v="12222.8983"/>
        <n v="1664.9996"/>
        <n v="58571.07448"/>
        <n v="9724.53"/>
        <n v="3206.49135"/>
        <n v="12913.9924"/>
        <n v="6356.2707"/>
        <n v="17626.23951"/>
        <n v="1242.816"/>
        <n v="4779.6023"/>
        <n v="3861.20965"/>
        <n v="43943.8761"/>
        <n v="13635.6379"/>
        <n v="5976.8311"/>
        <n v="11842.442"/>
        <n v="8428.0693"/>
        <n v="2566.4707"/>
        <n v="15359.1045"/>
        <n v="5709.1644"/>
        <n v="8823.98575"/>
        <n v="7640.3092"/>
        <n v="5594.8455"/>
        <n v="7441.501"/>
        <n v="33471.97189"/>
        <n v="1633.0444"/>
        <n v="9174.13565"/>
        <n v="11070.535"/>
        <n v="16085.1275"/>
        <n v="17468.9839"/>
        <n v="9283.562"/>
        <n v="3558.62025"/>
        <n v="25678.77845"/>
        <n v="4435.0942"/>
        <n v="39241.442"/>
        <n v="8547.6913"/>
        <n v="6571.544"/>
        <n v="2207.69745"/>
        <n v="6753.038"/>
        <n v="1880.07"/>
        <n v="42969.8527"/>
        <n v="11658.11505"/>
        <n v="23306.547"/>
        <n v="34439.8559"/>
        <n v="10713.644"/>
        <n v="3659.346"/>
        <n v="40182.246"/>
        <n v="9182.17"/>
        <n v="34617.84065"/>
        <n v="12129.61415"/>
        <n v="3736.4647"/>
        <n v="6748.5912"/>
        <n v="11326.71487"/>
        <n v="11365.952"/>
        <n v="42983.4585"/>
        <n v="10085.846"/>
        <n v="1977.815"/>
        <n v="3366.6697"/>
        <n v="7173.35995"/>
        <n v="9391.346"/>
        <n v="14410.9321"/>
        <n v="2709.1119"/>
        <n v="24915.04626"/>
        <n v="20149.3229"/>
        <n v="12949.1554"/>
        <n v="6666.243"/>
        <n v="32787.45859"/>
        <n v="13143.86485"/>
        <n v="4466.6214"/>
        <n v="18806.14547"/>
        <n v="10141.1362"/>
        <n v="6123.5688"/>
        <n v="8252.2843"/>
        <n v="1712.227"/>
        <n v="12430.95335"/>
        <n v="9800.8882"/>
        <n v="10579.711"/>
        <n v="8280.6227"/>
        <n v="8527.532"/>
        <n v="12244.531"/>
        <n v="24667.419"/>
        <n v="3410.324"/>
        <n v="4058.71245"/>
        <n v="26392.26029"/>
        <n v="14394.39815"/>
        <n v="6435.6237"/>
        <n v="22192.43711"/>
        <n v="5148.5526"/>
        <n v="1136.3994"/>
        <n v="27037.9141"/>
        <n v="42560.4304"/>
        <n v="8703.456"/>
        <n v="40003.33225"/>
        <n v="45710.20785"/>
        <n v="6500.2359"/>
        <n v="4837.5823"/>
        <n v="3943.5954"/>
        <n v="4399.731"/>
        <n v="6185.3208"/>
        <n v="46200.9851"/>
        <n v="7222.78625"/>
        <n v="12485.8009"/>
        <n v="46130.5265"/>
        <n v="12363.547"/>
        <n v="10156.7832"/>
        <n v="2585.269"/>
        <n v="1242.26"/>
        <n v="40103.89"/>
        <n v="9863.4718"/>
        <n v="4766.022"/>
        <n v="11244.3769"/>
        <n v="7729.64575"/>
        <n v="5438.7491"/>
        <n v="26236.57997"/>
        <n v="34806.4677"/>
        <n v="2104.1134"/>
        <n v="8068.185"/>
        <n v="2362.22905"/>
        <n v="2352.96845"/>
        <n v="3577.999"/>
        <n v="3201.24515"/>
        <n v="29186.48236"/>
        <n v="40273.6455"/>
        <n v="10976.24575"/>
        <n v="3500.6123"/>
        <n v="2020.5523"/>
        <n v="9541.69555"/>
        <n v="9504.3103"/>
        <n v="5385.3379"/>
        <n v="8930.93455"/>
        <n v="5375.038"/>
        <n v="44400.4064"/>
        <n v="10264.4421"/>
        <n v="6113.23105"/>
        <n v="5469.0066"/>
        <n v="1727.54"/>
        <n v="10107.2206"/>
        <n v="8310.83915"/>
        <n v="1984.4533"/>
        <n v="2457.502"/>
        <n v="12146.971"/>
        <n v="9566.9909"/>
        <n v="13112.6048"/>
        <n v="10848.1343"/>
        <n v="12231.6136"/>
        <n v="9875.6804"/>
        <n v="11264.541"/>
        <n v="12979.358"/>
        <n v="1263.249"/>
        <n v="10106.13425"/>
        <n v="40932.4295"/>
        <n v="6664.68595"/>
        <n v="16657.71745"/>
        <n v="2217.6012"/>
        <n v="6781.3542"/>
        <n v="19361.9988"/>
        <n v="10065.413"/>
        <n v="4234.927"/>
        <n v="9447.25035"/>
        <n v="14007.222"/>
        <n v="9583.8933"/>
        <n v="40419.0191"/>
        <n v="3484.331"/>
        <n v="36189.1017"/>
        <n v="44585.45587"/>
        <n v="8604.48365"/>
        <n v="18246.4955"/>
        <n v="43254.41795"/>
        <n v="3757.8448"/>
        <n v="8827.2099"/>
        <n v="9910.35985"/>
        <n v="11737.84884"/>
        <n v="1627.28245"/>
        <n v="8556.907"/>
        <n v="3062.50825"/>
        <n v="19539.243"/>
        <n v="1906.35825"/>
        <n v="14210.53595"/>
        <n v="11833.7823"/>
        <n v="17128.42608"/>
        <n v="5031.26955"/>
        <n v="7985.815"/>
        <n v="23065.4207"/>
        <n v="5428.7277"/>
        <n v="36307.7983"/>
        <n v="3925.7582"/>
        <n v="2416.955"/>
        <n v="19040.876"/>
        <n v="3070.8087"/>
        <n v="9095.06825"/>
        <n v="11842.62375"/>
        <n v="8062.764"/>
        <n v="7050.642"/>
        <n v="14319.031"/>
        <n v="6933.24225"/>
        <n v="27941.28758"/>
        <n v="11150.78"/>
        <n v="12797.20962"/>
        <n v="17748.5062"/>
        <n v="7261.741"/>
        <n v="10560.4917"/>
        <n v="6986.697"/>
        <n v="7448.40395"/>
        <n v="5934.3798"/>
        <n v="9869.8102"/>
        <n v="18259.216"/>
        <n v="1146.7966"/>
        <n v="9386.1613"/>
        <n v="24520.264"/>
        <n v="4350.5144"/>
        <n v="6414.178"/>
        <n v="12741.16745"/>
        <n v="1917.3184"/>
        <n v="5209.57885"/>
        <n v="13457.9608"/>
        <n v="5662.225"/>
        <n v="1252.407"/>
        <n v="2731.9122"/>
        <n v="21195.818"/>
        <n v="7209.4918"/>
        <n v="18310.742"/>
        <n v="4266.1658"/>
        <n v="4719.52405"/>
        <n v="11848.141"/>
        <n v="17904.52705"/>
        <n v="7046.7222"/>
        <n v="14313.8463"/>
        <n v="2103.08"/>
        <n v="38792.6856"/>
        <n v="1815.8759"/>
        <n v="7731.85785"/>
        <n v="28476.73499"/>
        <n v="2136.88225"/>
        <n v="1131.5066"/>
        <n v="3309.7926"/>
        <n v="9414.92"/>
        <n v="6360.9936"/>
        <n v="11013.7119"/>
        <n v="4428.88785"/>
        <n v="5584.3057"/>
        <n v="1877.9294"/>
        <n v="2842.76075"/>
        <n v="3597.596"/>
        <n v="23401.30575"/>
        <n v="55135.40209"/>
        <n v="7445.918"/>
        <n v="2680.9493"/>
        <n v="1621.8827"/>
        <n v="8219.2039"/>
        <n v="12523.6048"/>
        <n v="16069.08475"/>
        <n v="43813.8661"/>
        <n v="20773.62775"/>
        <n v="39597.4072"/>
        <n v="6117.4945"/>
        <n v="13393.756"/>
        <n v="5266.3656"/>
        <n v="4719.73655"/>
        <n v="11743.9341"/>
        <n v="5377.4578"/>
        <n v="7160.3303"/>
        <n v="4402.233"/>
        <n v="11657.7189"/>
        <n v="6402.29135"/>
        <n v="12622.1795"/>
        <n v="1526.312"/>
        <n v="12323.936"/>
        <n v="36021.0112"/>
        <n v="27533.9129"/>
        <n v="10072.05505"/>
        <n v="45008.9555"/>
        <n v="9872.701"/>
        <n v="2438.0552"/>
        <n v="2974.126"/>
        <n v="10601.63225"/>
        <n v="37270.1512"/>
        <n v="14119.62"/>
        <n v="42111.6647"/>
        <n v="11729.6795"/>
        <n v="24106.91255"/>
        <n v="1875.344"/>
        <n v="40974.1649"/>
        <n v="15817.9857"/>
        <n v="18218.16139"/>
        <n v="10965.446"/>
        <n v="46113.511"/>
        <n v="7151.092"/>
        <n v="12269.68865"/>
        <n v="5458.04645"/>
        <n v="8782.469"/>
        <n v="6600.361"/>
        <n v="1141.4451"/>
        <n v="11576.13"/>
        <n v="13129.60345"/>
        <n v="4391.652"/>
        <n v="8457.818"/>
        <n v="3392.3652"/>
        <n v="5966.8874"/>
        <n v="6849.026"/>
        <n v="8891.1395"/>
        <n v="2690.1138"/>
        <n v="26140.3603"/>
        <n v="6653.7886"/>
        <n v="6282.235"/>
        <n v="6311.952"/>
        <n v="3443.064"/>
        <n v="2789.0574"/>
        <n v="2585.85065"/>
        <n v="46255.1125"/>
        <n v="4877.98105"/>
        <n v="19719.6947"/>
        <n v="27218.43725"/>
        <n v="5272.1758"/>
        <n v="1682.597"/>
        <n v="11945.1327"/>
        <n v="29330.98315"/>
        <n v="7243.8136"/>
        <n v="10422.91665"/>
        <n v="44202.6536"/>
        <n v="13555.0049"/>
        <n v="13063.883"/>
        <n v="19798.05455"/>
        <n v="2221.56445"/>
        <n v="1634.5734"/>
        <n v="2117.33885"/>
        <n v="8688.85885"/>
        <n v="48673.5588"/>
        <n v="4661.28635"/>
        <n v="8125.7845"/>
        <n v="12644.589"/>
        <n v="4564.19145"/>
        <n v="4846.92015"/>
        <n v="7633.7206"/>
        <n v="15170.069"/>
        <n v="17496.306"/>
        <n v="2639.0429"/>
        <n v="33732.6867"/>
        <n v="14382.70905"/>
        <n v="7626.993"/>
        <n v="5257.50795"/>
        <n v="2473.3341"/>
        <n v="21774.32215"/>
        <n v="35069.37452"/>
        <n v="13041.921"/>
        <n v="5245.2269"/>
        <n v="13451.122"/>
        <n v="13462.52"/>
        <n v="5488.262"/>
        <n v="4320.41085"/>
        <n v="6250.435"/>
        <n v="25333.33284"/>
        <n v="2913.569"/>
        <n v="12032.326"/>
        <n v="13470.8044"/>
        <n v="6289.7549"/>
        <n v="2927.0647"/>
        <n v="6238.298"/>
        <n v="10096.97"/>
        <n v="7348.142"/>
        <n v="4673.3922"/>
        <n v="12233.828"/>
        <n v="32108.66282"/>
        <n v="8965.79575"/>
        <n v="2304.0022"/>
        <n v="9487.6442"/>
        <n v="1121.8739"/>
        <n v="9549.5651"/>
        <n v="2217.46915"/>
        <n v="1628.4709"/>
        <n v="12982.8747"/>
        <n v="11674.13"/>
        <n v="7160.094"/>
        <n v="39047.285"/>
        <n v="6358.77645"/>
        <n v="19933.458"/>
        <n v="11534.87265"/>
        <n v="47462.894"/>
        <n v="4527.18295"/>
        <n v="38998.546"/>
        <n v="20009.63365"/>
        <n v="3875.7341"/>
        <n v="41999.52"/>
        <n v="12609.88702"/>
        <n v="41034.2214"/>
        <n v="28468.91901"/>
        <n v="2730.10785"/>
        <n v="3353.284"/>
        <n v="14474.675"/>
        <n v="9500.57305"/>
        <n v="26467.09737"/>
        <n v="4746.344"/>
        <n v="23967.38305"/>
        <n v="7518.02535"/>
        <n v="3279.86855"/>
        <n v="8596.8278"/>
        <n v="10702.6424"/>
        <n v="4992.3764"/>
        <n v="2527.81865"/>
        <n v="1759.338"/>
        <n v="2322.6218"/>
        <n v="16138.76205"/>
        <n v="7804.1605"/>
        <n v="2902.9065"/>
        <n v="9704.66805"/>
        <n v="4889.0368"/>
        <n v="25517.11363"/>
        <n v="4500.33925"/>
        <n v="19199.944"/>
        <n v="16796.41194"/>
        <n v="4915.05985"/>
        <n v="7624.63"/>
        <n v="8410.04685"/>
        <n v="28340.18885"/>
        <n v="4518.82625"/>
        <n v="14571.8908"/>
        <n v="3378.91"/>
        <n v="7144.86265"/>
        <n v="10118.424"/>
        <n v="5484.4673"/>
        <n v="16420.49455"/>
        <n v="7986.47525"/>
        <n v="7418.522"/>
        <n v="13887.9685"/>
        <n v="6551.7501"/>
        <n v="5267.81815"/>
        <n v="17361.7661"/>
        <n v="34472.841"/>
        <n v="1972.95"/>
        <n v="21232.18226"/>
        <n v="8627.5411"/>
        <n v="4433.3877"/>
        <n v="4438.2634"/>
        <n v="24915.22085"/>
        <n v="23241.47453"/>
        <n v="9957.7216"/>
        <n v="8269.044"/>
        <n v="18767.7377"/>
        <n v="36580.28216"/>
        <n v="8765.249"/>
        <n v="5383.536"/>
        <n v="12124.9924"/>
        <n v="2709.24395"/>
        <n v="3987.926"/>
        <n v="12495.29085"/>
        <n v="26018.95052"/>
        <n v="8798.593"/>
        <n v="35595.5898"/>
        <n v="42211.1382"/>
        <n v="1711.0268"/>
        <n v="8569.8618"/>
        <n v="2020.177"/>
        <n v="16450.8947"/>
        <n v="21595.38229"/>
        <n v="9850.432"/>
        <n v="6877.9801"/>
        <n v="21677.28345"/>
        <n v="44423.803"/>
        <n v="4137.5227"/>
        <n v="13747.87235"/>
        <n v="12950.0712"/>
        <n v="12094.478"/>
        <n v="37484.4493"/>
        <n v="39725.51805"/>
        <n v="2250.8352"/>
        <n v="22493.65964"/>
        <n v="20234.85475"/>
        <n v="1704.70015"/>
        <n v="33475.81715"/>
        <n v="3161.454"/>
        <n v="11394.06555"/>
        <n v="21880.82"/>
        <n v="7325.0482"/>
        <n v="44501.3982"/>
        <n v="3594.17085"/>
        <n v="39727.614"/>
        <n v="8023.13545"/>
        <n v="14394.5579"/>
        <n v="9288.0267"/>
        <n v="25309.489"/>
        <n v="3353.4703"/>
        <n v="10594.50155"/>
        <n v="8277.523"/>
        <n v="17929.30337"/>
        <n v="2480.9791"/>
        <n v="4462.7218"/>
        <n v="1981.5819"/>
        <n v="11554.2236"/>
        <n v="48970.2476"/>
        <n v="6548.19505"/>
        <n v="5708.867"/>
        <n v="7045.499"/>
        <n v="8978.1851"/>
        <n v="5757.41345"/>
        <n v="14349.8544"/>
        <n v="10928.849"/>
        <n v="39871.7043"/>
        <n v="13974.45555"/>
        <n v="1909.52745"/>
        <n v="12096.6512"/>
        <n v="13204.28565"/>
        <n v="4562.8421"/>
        <n v="8551.347"/>
        <n v="2102.2647"/>
        <n v="34672.1472"/>
        <n v="15161.5344"/>
        <n v="11884.04858"/>
        <n v="4454.40265"/>
        <n v="5855.9025"/>
        <n v="4076.497"/>
        <n v="15019.76005"/>
        <n v="19023.26"/>
        <n v="10796.35025"/>
        <n v="11353.2276"/>
        <n v="9748.9106"/>
        <n v="10577.087"/>
        <n v="41676.0811"/>
        <n v="11286.5387"/>
        <n v="3591.48"/>
        <n v="33907.548"/>
        <n v="11299.343"/>
        <n v="4561.1885"/>
        <n v="44641.1974"/>
        <n v="1674.6323"/>
        <n v="23045.56616"/>
        <n v="3227.1211"/>
        <n v="16776.30405"/>
        <n v="11253.421"/>
        <n v="3471.4096"/>
        <n v="11363.2832"/>
        <n v="20420.60465"/>
        <n v="10338.9316"/>
        <n v="8988.15875"/>
        <n v="10493.9458"/>
        <n v="2904.088"/>
        <n v="8605.3615"/>
        <n v="11512.405"/>
        <n v="41949.2441"/>
        <n v="24180.9335"/>
        <n v="5312.16985"/>
        <n v="2396.0959"/>
        <n v="10807.4863"/>
        <n v="9222.4026"/>
        <n v="36124.5737"/>
        <n v="38282.7495"/>
        <n v="5693.4305"/>
        <n v="34166.273"/>
        <n v="8347.1643"/>
        <n v="46661.4424"/>
        <n v="18903.49141"/>
        <n v="40904.1995"/>
        <n v="14254.6082"/>
        <n v="10214.636"/>
        <n v="5836.5204"/>
        <n v="14358.36437"/>
        <n v="1728.897"/>
        <n v="8582.3023"/>
        <n v="3693.428"/>
        <n v="20709.02034"/>
        <n v="9991.03765"/>
        <n v="19673.33573"/>
        <n v="11085.5868"/>
        <n v="7623.518"/>
        <n v="3176.2877"/>
        <n v="3704.3545"/>
        <n v="36898.73308"/>
        <n v="9048.0273"/>
        <n v="7954.517"/>
        <n v="27117.99378"/>
        <n v="6338.0756"/>
        <n v="9630.397"/>
        <n v="11289.10925"/>
        <n v="52590.82939"/>
        <n v="2261.5688"/>
        <n v="10791.96"/>
        <n v="5979.731"/>
        <n v="2203.73595"/>
        <n v="12235.8392"/>
        <n v="40941.2854"/>
        <n v="5630.45785"/>
        <n v="11015.1747"/>
        <n v="7228.21565"/>
        <n v="39722.7462"/>
        <n v="14426.07385"/>
        <n v="2459.7201"/>
        <n v="3989.841"/>
        <n v="7727.2532"/>
        <n v="5124.1887"/>
        <n v="18963.17192"/>
        <n v="2200.83085"/>
        <n v="7153.5539"/>
        <n v="5227.98875"/>
        <n v="10982.5013"/>
        <n v="4529.477"/>
        <n v="4670.64"/>
        <n v="6112.35295"/>
        <n v="17178.6824"/>
        <n v="22478.6"/>
        <n v="11093.6229"/>
        <n v="6457.8434"/>
        <n v="4433.9159"/>
        <n v="2154.361"/>
        <n v="23887.6627"/>
        <n v="6496.886"/>
        <n v="2899.48935"/>
        <n v="19350.3689"/>
        <n v="7650.77375"/>
        <n v="2850.68375"/>
        <n v="2632.992"/>
        <n v="9447.3824"/>
        <n v="18328.2381"/>
        <n v="8603.8234"/>
        <n v="37465.34375"/>
        <n v="13844.7972"/>
        <n v="21771.3423"/>
        <n v="13126.67745"/>
        <n v="5327.40025"/>
        <n v="13725.47184"/>
        <n v="13019.16105"/>
        <n v="8671.19125"/>
        <n v="4134.08245"/>
        <n v="18838.70366"/>
        <n v="33307.5508"/>
        <n v="5699.8375"/>
        <n v="6393.60345"/>
        <n v="4934.705"/>
        <n v="6198.7518"/>
        <n v="8733.22925"/>
        <n v="2055.3249"/>
        <n v="9964.06"/>
        <n v="18223.4512"/>
        <n v="5116.5004"/>
        <n v="36910.60803"/>
        <n v="38415.474"/>
        <n v="20296.86345"/>
        <n v="12347.172"/>
        <n v="5373.36425"/>
        <n v="23563.01618"/>
        <n v="1702.4553"/>
        <n v="10806.839"/>
        <n v="3956.07145"/>
        <n v="12890.05765"/>
        <n v="5415.6612"/>
        <n v="4058.1161"/>
        <n v="41661.602"/>
        <n v="7537.1639"/>
        <n v="4718.20355"/>
        <n v="6593.5083"/>
        <n v="8442.667"/>
        <n v="26125.67477"/>
        <n v="6858.4796"/>
        <n v="4795.6568"/>
        <n v="6640.54485"/>
        <n v="7162.0122"/>
        <n v="10594.2257"/>
        <n v="11938.25595"/>
        <n v="60021.39897"/>
        <n v="20167.33603"/>
        <n v="12479.70895"/>
        <n v="11345.519"/>
        <n v="8515.7587"/>
        <n v="2699.56835"/>
        <n v="14449.8544"/>
        <n v="12224.35085"/>
        <n v="6985.50695"/>
        <n v="3238.4357"/>
        <n v="47269.854"/>
        <n v="49577.6624"/>
        <n v="4296.2712"/>
        <n v="3171.6149"/>
        <n v="1135.9407"/>
        <n v="5615.369"/>
        <n v="9101.798"/>
        <n v="6059.173"/>
        <n v="1633.9618"/>
        <n v="37607.5277"/>
        <n v="18648.4217"/>
        <n v="1241.565"/>
        <n v="16232.847"/>
        <n v="15828.82173"/>
        <n v="4415.1588"/>
        <n v="6474.013"/>
        <n v="11436.73815"/>
        <n v="11305.93455"/>
        <n v="30063.58055"/>
        <n v="10197.7722"/>
        <n v="4544.2348"/>
        <n v="3277.161"/>
        <n v="6770.1925"/>
        <n v="7337.748"/>
        <n v="10370.91255"/>
        <n v="26926.5144"/>
        <n v="10704.47"/>
        <n v="34254.05335"/>
        <n v="1880.487"/>
        <n v="8615.3"/>
        <n v="3292.52985"/>
        <n v="3021.80915"/>
        <n v="14478.33015"/>
        <n v="4747.0529"/>
        <n v="17043.3414"/>
        <n v="10959.33"/>
        <n v="2741.948"/>
        <n v="4357.04365"/>
        <n v="22462.04375"/>
        <n v="4189.1131"/>
        <n v="8283.6807"/>
        <n v="24535.69855"/>
        <n v="14283.4594"/>
        <n v="1720.3537"/>
        <n v="47403.88"/>
        <n v="8534.6718"/>
        <n v="3732.6251"/>
        <n v="5472.449"/>
        <n v="38344.566"/>
        <n v="7147.4728"/>
        <n v="7133.9025"/>
        <n v="34828.654"/>
        <n v="1515.3449"/>
        <n v="9301.89355"/>
        <n v="11931.12525"/>
        <n v="1964.78"/>
        <n v="1708.92575"/>
        <n v="4340.4409"/>
        <n v="5261.46945"/>
        <n v="2710.82855"/>
        <n v="62592.87309"/>
        <n v="46718.16325"/>
        <n v="3208.787"/>
        <n v="37829.7242"/>
        <n v="21259.37795"/>
        <n v="2464.6188"/>
        <n v="16115.3045"/>
        <n v="21472.4788"/>
        <n v="33900.653"/>
        <n v="6875.961"/>
        <n v="6940.90985"/>
        <n v="4571.41305"/>
        <n v="4536.259"/>
        <n v="36397.576"/>
        <n v="18765.87545"/>
        <n v="11272.33139"/>
        <n v="1731.677"/>
        <n v="1163.4627"/>
        <n v="19496.71917"/>
        <n v="7201.70085"/>
        <n v="5425.02335"/>
        <n v="28101.33305"/>
        <n v="12981.3457"/>
        <n v="43896.3763"/>
        <n v="4239.89265"/>
        <n v="13143.33665"/>
        <n v="7050.0213"/>
        <n v="9377.9047"/>
        <n v="22395.74424"/>
        <n v="10325.206"/>
        <n v="12629.1656"/>
        <n v="10795.93733"/>
        <n v="11411.685"/>
        <n v="10600.5483"/>
        <n v="2205.9808"/>
        <n v="1629.8335"/>
        <n v="2007.945"/>
        <n v="29141.360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3:B6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MOKER" axis="axisRow" compact="0" outline="0" multipleItemSelectionAllowed="1" showAll="0" sortType="ascending">
      <items>
        <item x="1"/>
        <item x="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HARG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t="default"/>
      </items>
    </pivotField>
  </pivotFields>
  <rowFields>
    <field x="4"/>
  </rowFields>
  <dataFields>
    <dataField name="Sum of CHARGES" fld="6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D3:G7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EX" axis="axisRow" compact="0" outline="0" multipleItemSelectionAllowed="1" showAll="0" sortType="ascending">
      <items>
        <item x="0"/>
        <item x="1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MOKER" axis="axisCol" compact="0" outline="0" multipleItemSelectionAllowed="1" showAll="0" sortType="ascending">
      <items>
        <item x="1"/>
        <item x="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HARG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t="default"/>
      </items>
    </pivotField>
  </pivotFields>
  <rowFields>
    <field x="1"/>
  </rowFields>
  <colFields>
    <field x="4"/>
  </colFields>
  <dataFields>
    <dataField name="Sum of CHARGES" fld="6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J4:K52" firstHeaderRow="0" firstDataRow="1" firstDataCol="0" rowPageCount="1" colPageCount="1"/>
  <pivotFields>
    <pivotField name="AGE" axis="axisRow" compact="0" outline="0" multipleItemSelectionAllowed="1" showAll="0" sortType="ascending">
      <items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BMI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HARG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t="default"/>
      </items>
    </pivotField>
  </pivotFields>
  <rowFields>
    <field x="0"/>
  </rowFields>
  <pageFields>
    <pageField fld="2"/>
  </pageFields>
  <dataFields>
    <dataField name="Sum of CHARGES" fld="6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compact="0" compactData="0">
  <location ref="A10:B58" firstHeaderRow="0" firstDataRow="1" firstDataCol="0"/>
  <pivotFields>
    <pivotField name="AGE" axis="axisRow" compact="0" outline="0" multipleItemSelectionAllowed="1" showAll="0" sortType="ascending">
      <items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HARG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t="default"/>
      </items>
    </pivotField>
  </pivotFields>
  <rowFields>
    <field x="0"/>
  </rowFields>
  <dataFields>
    <dataField name="Sum of CHARGES" fld="6" baseField="0"/>
  </dataFields>
</pivotTableDefinition>
</file>

<file path=xl/pivotTables/pivotTable5.xml><?xml version="1.0" encoding="utf-8"?>
<pivotTableDefinition xmlns="http://schemas.openxmlformats.org/spreadsheetml/2006/main" name="PIVOT TABLE 5" cacheId="0" dataCaption="" compact="0" compactData="0">
  <location ref="D10:F714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BMI" axis="axisRow" compact="0" outline="0" multipleItemSelectionAllowed="1" showAll="0" sortType="ascending">
      <items>
        <item x="149"/>
        <item x="290"/>
        <item x="282"/>
        <item x="193"/>
        <item x="28"/>
        <item x="385"/>
        <item x="280"/>
        <item x="433"/>
        <item x="117"/>
        <item x="183"/>
        <item x="519"/>
        <item x="263"/>
        <item x="164"/>
        <item x="498"/>
        <item x="469"/>
        <item x="387"/>
        <item x="507"/>
        <item x="490"/>
        <item x="146"/>
        <item x="369"/>
        <item x="501"/>
        <item x="485"/>
        <item x="92"/>
        <item x="417"/>
        <item x="359"/>
        <item x="202"/>
        <item x="269"/>
        <item x="91"/>
        <item x="449"/>
        <item x="462"/>
        <item x="486"/>
        <item x="281"/>
        <item x="386"/>
        <item x="504"/>
        <item x="274"/>
        <item x="35"/>
        <item x="481"/>
        <item x="272"/>
        <item x="209"/>
        <item x="355"/>
        <item x="251"/>
        <item x="37"/>
        <item x="192"/>
        <item x="431"/>
        <item x="258"/>
        <item x="278"/>
        <item x="529"/>
        <item x="370"/>
        <item x="383"/>
        <item x="343"/>
        <item x="321"/>
        <item x="510"/>
        <item x="212"/>
        <item x="491"/>
        <item x="496"/>
        <item x="253"/>
        <item x="404"/>
        <item x="42"/>
        <item x="526"/>
        <item x="361"/>
        <item x="254"/>
        <item x="522"/>
        <item x="540"/>
        <item x="120"/>
        <item x="500"/>
        <item x="188"/>
        <item x="185"/>
        <item x="259"/>
        <item x="169"/>
        <item x="64"/>
        <item x="422"/>
        <item x="286"/>
        <item x="227"/>
        <item x="3"/>
        <item x="413"/>
        <item x="414"/>
        <item x="58"/>
        <item x="83"/>
        <item x="223"/>
        <item x="492"/>
        <item x="26"/>
        <item x="173"/>
        <item x="247"/>
        <item x="461"/>
        <item x="174"/>
        <item x="482"/>
        <item x="527"/>
        <item x="487"/>
        <item x="108"/>
        <item x="305"/>
        <item x="352"/>
        <item x="397"/>
        <item x="476"/>
        <item x="277"/>
        <item x="354"/>
        <item x="367"/>
        <item x="408"/>
        <item x="110"/>
        <item x="534"/>
        <item x="344"/>
        <item x="17"/>
        <item x="508"/>
        <item x="283"/>
        <item x="524"/>
        <item x="68"/>
        <item x="167"/>
        <item x="313"/>
        <item x="390"/>
        <item x="134"/>
        <item x="432"/>
        <item x="210"/>
        <item x="276"/>
        <item x="200"/>
        <item x="420"/>
        <item x="197"/>
        <item x="137"/>
        <item x="184"/>
        <item x="48"/>
        <item x="15"/>
        <item x="456"/>
        <item x="177"/>
        <item x="62"/>
        <item x="69"/>
        <item x="88"/>
        <item x="443"/>
        <item x="261"/>
        <item x="523"/>
        <item x="255"/>
        <item x="459"/>
        <item x="322"/>
        <item x="315"/>
        <item x="124"/>
        <item x="198"/>
        <item x="235"/>
        <item x="128"/>
        <item x="195"/>
        <item x="440"/>
        <item x="225"/>
        <item x="94"/>
        <item x="535"/>
        <item x="122"/>
        <item x="248"/>
        <item x="302"/>
        <item x="324"/>
        <item x="5"/>
        <item x="474"/>
        <item x="335"/>
        <item x="9"/>
        <item x="505"/>
        <item x="473"/>
        <item x="63"/>
        <item x="327"/>
        <item x="334"/>
        <item x="388"/>
        <item x="424"/>
        <item x="161"/>
        <item x="10"/>
        <item x="11"/>
        <item x="31"/>
        <item x="170"/>
        <item x="154"/>
        <item x="119"/>
        <item x="426"/>
        <item x="40"/>
        <item x="217"/>
        <item x="301"/>
        <item x="418"/>
        <item x="172"/>
        <item x="471"/>
        <item x="189"/>
        <item x="199"/>
        <item x="78"/>
        <item x="292"/>
        <item x="86"/>
        <item x="411"/>
        <item x="537"/>
        <item x="402"/>
        <item x="416"/>
        <item x="107"/>
        <item x="85"/>
        <item x="288"/>
        <item x="518"/>
        <item x="531"/>
        <item x="60"/>
        <item x="73"/>
        <item x="207"/>
        <item x="97"/>
        <item x="208"/>
        <item x="244"/>
        <item x="536"/>
        <item x="215"/>
        <item x="224"/>
        <item x="25"/>
        <item x="7"/>
        <item x="542"/>
        <item x="138"/>
        <item x="152"/>
        <item x="0"/>
        <item x="325"/>
        <item x="100"/>
        <item x="52"/>
        <item x="24"/>
        <item x="123"/>
        <item x="71"/>
        <item x="213"/>
        <item x="475"/>
        <item x="458"/>
        <item x="143"/>
        <item x="356"/>
        <item x="115"/>
        <item x="33"/>
        <item x="310"/>
        <item x="98"/>
        <item x="403"/>
        <item x="515"/>
        <item x="70"/>
        <item x="105"/>
        <item x="32"/>
        <item x="54"/>
        <item x="311"/>
        <item x="114"/>
        <item x="444"/>
        <item x="222"/>
        <item x="4"/>
        <item x="65"/>
        <item x="329"/>
        <item x="111"/>
        <item x="358"/>
        <item x="446"/>
        <item x="187"/>
        <item x="347"/>
        <item x="410"/>
        <item x="289"/>
        <item x="153"/>
        <item x="245"/>
        <item x="375"/>
        <item x="452"/>
        <item x="205"/>
        <item x="530"/>
        <item x="296"/>
        <item x="364"/>
        <item x="445"/>
        <item x="396"/>
        <item x="75"/>
        <item x="303"/>
        <item x="142"/>
        <item x="102"/>
        <item x="129"/>
        <item x="141"/>
        <item x="382"/>
        <item x="8"/>
        <item x="441"/>
        <item x="96"/>
        <item x="503"/>
        <item x="308"/>
        <item x="190"/>
        <item x="279"/>
        <item x="406"/>
        <item x="95"/>
        <item x="307"/>
        <item x="204"/>
        <item x="267"/>
        <item x="328"/>
        <item x="148"/>
        <item x="511"/>
        <item x="541"/>
        <item x="257"/>
        <item x="131"/>
        <item x="252"/>
        <item x="162"/>
        <item x="264"/>
        <item x="155"/>
        <item x="16"/>
        <item x="43"/>
        <item x="99"/>
        <item x="157"/>
        <item x="547"/>
        <item x="332"/>
        <item x="270"/>
        <item x="320"/>
        <item x="435"/>
        <item x="360"/>
        <item x="84"/>
        <item x="216"/>
        <item x="502"/>
        <item x="468"/>
        <item x="89"/>
        <item x="112"/>
        <item x="234"/>
        <item x="268"/>
        <item x="262"/>
        <item x="434"/>
        <item x="381"/>
        <item x="160"/>
        <item x="93"/>
        <item x="181"/>
        <item x="57"/>
        <item x="294"/>
        <item x="211"/>
        <item x="171"/>
        <item x="56"/>
        <item x="125"/>
        <item x="23"/>
        <item x="497"/>
        <item x="72"/>
        <item x="256"/>
        <item x="407"/>
        <item x="159"/>
        <item x="346"/>
        <item x="158"/>
        <item x="104"/>
        <item x="166"/>
        <item x="243"/>
        <item x="454"/>
        <item x="203"/>
        <item x="21"/>
        <item x="437"/>
        <item x="127"/>
        <item x="463"/>
        <item x="316"/>
        <item x="453"/>
        <item x="365"/>
        <item x="314"/>
        <item x="297"/>
        <item x="484"/>
        <item x="27"/>
        <item x="436"/>
        <item x="163"/>
        <item x="545"/>
        <item x="260"/>
        <item x="36"/>
        <item x="2"/>
        <item x="232"/>
        <item x="291"/>
        <item x="293"/>
        <item x="145"/>
        <item x="460"/>
        <item x="176"/>
        <item x="520"/>
        <item x="230"/>
        <item x="150"/>
        <item x="220"/>
        <item x="6"/>
        <item x="298"/>
        <item x="371"/>
        <item x="516"/>
        <item x="51"/>
        <item x="61"/>
        <item x="175"/>
        <item x="363"/>
        <item x="1"/>
        <item x="239"/>
        <item x="312"/>
        <item x="178"/>
        <item x="113"/>
        <item x="457"/>
        <item x="74"/>
        <item x="22"/>
        <item x="237"/>
        <item x="206"/>
        <item x="194"/>
        <item x="351"/>
        <item x="319"/>
        <item x="419"/>
        <item x="226"/>
        <item x="12"/>
        <item x="53"/>
        <item x="525"/>
        <item x="242"/>
        <item x="415"/>
        <item x="489"/>
        <item x="480"/>
        <item x="118"/>
        <item x="47"/>
        <item x="82"/>
        <item x="231"/>
        <item x="394"/>
        <item x="539"/>
        <item x="379"/>
        <item x="101"/>
        <item x="451"/>
        <item x="284"/>
        <item x="49"/>
        <item x="249"/>
        <item x="19"/>
        <item x="331"/>
        <item x="401"/>
        <item x="478"/>
        <item x="340"/>
        <item x="409"/>
        <item x="76"/>
        <item x="30"/>
        <item x="50"/>
        <item x="285"/>
        <item x="330"/>
        <item x="103"/>
        <item x="246"/>
        <item x="467"/>
        <item x="427"/>
        <item x="191"/>
        <item x="121"/>
        <item x="357"/>
        <item x="233"/>
        <item x="126"/>
        <item x="20"/>
        <item x="168"/>
        <item x="374"/>
        <item x="67"/>
        <item x="182"/>
        <item x="391"/>
        <item x="483"/>
        <item x="29"/>
        <item x="241"/>
        <item x="34"/>
        <item x="238"/>
        <item x="300"/>
        <item x="429"/>
        <item x="400"/>
        <item x="41"/>
        <item x="38"/>
        <item x="240"/>
        <item x="219"/>
        <item x="139"/>
        <item x="350"/>
        <item x="55"/>
        <item x="528"/>
        <item x="144"/>
        <item x="44"/>
        <item x="493"/>
        <item x="109"/>
        <item x="135"/>
        <item x="464"/>
        <item x="348"/>
        <item x="45"/>
        <item x="59"/>
        <item x="116"/>
        <item x="133"/>
        <item x="228"/>
        <item x="366"/>
        <item x="80"/>
        <item x="151"/>
        <item x="533"/>
        <item x="132"/>
        <item x="368"/>
        <item x="532"/>
        <item x="412"/>
        <item x="229"/>
        <item x="179"/>
        <item x="309"/>
        <item x="271"/>
        <item x="377"/>
        <item x="90"/>
        <item x="79"/>
        <item x="275"/>
        <item x="186"/>
        <item x="304"/>
        <item x="46"/>
        <item x="130"/>
        <item x="338"/>
        <item x="447"/>
        <item x="373"/>
        <item x="266"/>
        <item x="66"/>
        <item x="521"/>
        <item x="287"/>
        <item x="326"/>
        <item x="393"/>
        <item x="165"/>
        <item x="538"/>
        <item x="336"/>
        <item x="87"/>
        <item x="318"/>
        <item x="136"/>
        <item x="140"/>
        <item x="472"/>
        <item x="376"/>
        <item x="544"/>
        <item x="455"/>
        <item x="77"/>
        <item x="13"/>
        <item x="39"/>
        <item x="466"/>
        <item x="479"/>
        <item x="196"/>
        <item x="392"/>
        <item x="362"/>
        <item x="405"/>
        <item x="18"/>
        <item x="514"/>
        <item x="517"/>
        <item x="398"/>
        <item x="337"/>
        <item x="477"/>
        <item x="214"/>
        <item x="399"/>
        <item x="384"/>
        <item x="450"/>
        <item x="236"/>
        <item x="513"/>
        <item x="421"/>
        <item x="81"/>
        <item x="317"/>
        <item x="428"/>
        <item x="147"/>
        <item x="389"/>
        <item x="423"/>
        <item x="156"/>
        <item x="180"/>
        <item x="14"/>
        <item x="425"/>
        <item x="201"/>
        <item x="378"/>
        <item x="372"/>
        <item x="495"/>
        <item x="380"/>
        <item x="506"/>
        <item x="470"/>
        <item x="430"/>
        <item x="299"/>
        <item x="349"/>
        <item x="265"/>
        <item x="323"/>
        <item x="442"/>
        <item x="250"/>
        <item x="448"/>
        <item x="333"/>
        <item x="546"/>
        <item x="395"/>
        <item x="345"/>
        <item x="512"/>
        <item x="488"/>
        <item x="353"/>
        <item x="221"/>
        <item x="509"/>
        <item x="465"/>
        <item x="342"/>
        <item x="306"/>
        <item x="341"/>
        <item x="295"/>
        <item x="339"/>
        <item x="273"/>
        <item x="439"/>
        <item x="499"/>
        <item x="218"/>
        <item x="106"/>
        <item x="438"/>
        <item x="494"/>
        <item x="543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MOKER" axis="axisRow" compact="0" outline="0" multipleItemSelectionAllowed="1" showAll="0" sortType="ascending">
      <items>
        <item x="1"/>
        <item x="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HARG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t="default"/>
      </items>
    </pivotField>
  </pivotFields>
  <rowFields>
    <field x="4"/>
    <field x="2"/>
  </rowFields>
  <dataFields>
    <dataField name="Sum of CHARGES" fld="6" baseField="0"/>
  </dataFields>
</pivotTableDefinition>
</file>

<file path=xl/pivotTables/pivotTable6.xml><?xml version="1.0" encoding="utf-8"?>
<pivotTableDefinition xmlns="http://schemas.openxmlformats.org/spreadsheetml/2006/main" name="PIVOT TABLE 6" cacheId="0" dataCaption="" compact="0" compactData="0">
  <location ref="G10:H17" firstHeaderRow="0" firstDataRow="1" firstDataCol="0" rowPageCount="1" colPageCount="1"/>
  <pivotFields>
    <pivotField name="AGE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t="default"/>
      </items>
    </pivotField>
    <pivotField name="CHILDREN" axis="axisRow" compact="0" outline="0" multipleItemSelectionAllowed="1" showAll="0" sortType="ascending">
      <items>
        <item x="0"/>
        <item x="1"/>
        <item x="3"/>
        <item x="2"/>
        <item x="5"/>
        <item x="4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HARG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t="default"/>
      </items>
    </pivotField>
  </pivotFields>
  <rowFields>
    <field x="3"/>
  </rowFields>
  <pageFields>
    <pageField fld="0"/>
  </pageFields>
  <dataFields>
    <dataField name="Count of CHARGES" fld="6" subtotal="countNums" baseField="0"/>
  </dataFields>
</pivotTableDefinition>
</file>

<file path=xl/pivotTables/pivotTable7.xml><?xml version="1.0" encoding="utf-8"?>
<pivotTableDefinition xmlns="http://schemas.openxmlformats.org/spreadsheetml/2006/main" name="PIVOT TABLE 7" cacheId="0" dataCaption="" compact="0" compactData="0">
  <location ref="G24:I29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BM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REGION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CHARG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t="default"/>
      </items>
    </pivotField>
  </pivotFields>
  <rowFields>
    <field x="5"/>
  </rowFields>
  <colFields>
    <field x="-2"/>
  </colFields>
  <dataFields>
    <dataField name="Sum of CHARGES" fld="6" baseField="0"/>
    <dataField name="Count of BMI" fld="2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29"/>
    <col customWidth="1" min="2" max="2" width="12.0"/>
    <col customWidth="1" min="3" max="3" width="11.43"/>
    <col customWidth="1" min="4" max="4" width="15.14"/>
    <col customWidth="1" min="5" max="5" width="14.0"/>
    <col customWidth="1" min="6" max="6" width="14.71"/>
    <col customWidth="1" min="7" max="7" width="18.43"/>
    <col customWidth="1" min="8" max="9" width="8.71"/>
    <col customWidth="1" min="10" max="10" width="10.86"/>
    <col customWidth="1" min="11" max="11" width="10.29"/>
    <col customWidth="1" min="12" max="12" width="11.29"/>
    <col customWidth="1" min="13" max="13" width="8.71"/>
    <col customWidth="1" min="14" max="14" width="16.57"/>
    <col customWidth="1" min="15" max="15" width="11.57"/>
    <col customWidth="1" min="16" max="16" width="9.14"/>
    <col customWidth="1" min="17" max="17" width="22.71"/>
    <col customWidth="1" min="18" max="18" width="11.43"/>
    <col customWidth="1" min="19" max="19" width="8.71"/>
    <col customWidth="1" min="20" max="20" width="14.71"/>
    <col customWidth="1" min="21" max="21" width="15.0"/>
    <col customWidth="1" min="22" max="22" width="11.14"/>
    <col customWidth="1" min="23" max="23" width="8.71"/>
    <col customWidth="1" min="24" max="24" width="16.71"/>
    <col customWidth="1" min="25" max="25" width="12.71"/>
    <col customWidth="1" min="26" max="26" width="15.86"/>
    <col customWidth="1" min="27" max="27" width="8.71"/>
  </cols>
  <sheetData>
    <row r="1" ht="14.25" customHeight="1">
      <c r="A1" s="1" t="s">
        <v>0</v>
      </c>
      <c r="F1" s="2"/>
      <c r="G1" s="2"/>
      <c r="H1" s="3"/>
      <c r="J1" s="4"/>
      <c r="K1" s="5"/>
      <c r="N1" s="4"/>
      <c r="O1" s="5"/>
      <c r="Q1" s="4"/>
      <c r="R1" s="5"/>
      <c r="T1" s="4"/>
      <c r="U1" s="5"/>
      <c r="V1" s="6"/>
      <c r="X1" s="4"/>
      <c r="Y1" s="6"/>
      <c r="Z1" s="5"/>
    </row>
    <row r="2" ht="14.25" hidden="1" customHeight="1">
      <c r="A2" s="2"/>
      <c r="B2" s="2"/>
      <c r="C2" s="2"/>
      <c r="D2" s="2"/>
      <c r="E2" s="2"/>
      <c r="F2" s="2"/>
      <c r="G2" s="2"/>
      <c r="H2" s="3"/>
      <c r="J2" s="7"/>
      <c r="K2" s="8"/>
      <c r="N2" s="7"/>
      <c r="O2" s="8"/>
      <c r="Q2" s="7"/>
      <c r="R2" s="8"/>
      <c r="T2" s="7"/>
      <c r="U2" s="8"/>
      <c r="V2" s="9"/>
      <c r="X2" s="7"/>
      <c r="Y2" s="10"/>
      <c r="Z2" s="8"/>
    </row>
    <row r="3" ht="14.25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3"/>
      <c r="J3" s="7"/>
      <c r="K3" s="8"/>
      <c r="N3" s="7"/>
      <c r="O3" s="8"/>
      <c r="Q3" s="7"/>
      <c r="R3" s="8"/>
      <c r="T3" s="7"/>
      <c r="U3" s="8"/>
      <c r="V3" s="12"/>
      <c r="X3" s="7"/>
      <c r="Y3" s="13"/>
      <c r="Z3" s="8"/>
    </row>
    <row r="4" ht="14.25" customHeight="1">
      <c r="A4" s="7">
        <v>19.0</v>
      </c>
      <c r="B4" s="7" t="s">
        <v>8</v>
      </c>
      <c r="C4" s="7">
        <v>27.9</v>
      </c>
      <c r="D4" s="7">
        <v>0.0</v>
      </c>
      <c r="E4" s="7" t="s">
        <v>9</v>
      </c>
      <c r="F4" s="7" t="s">
        <v>10</v>
      </c>
      <c r="G4" s="7">
        <v>16884.924</v>
      </c>
      <c r="H4" s="3"/>
      <c r="J4" s="7"/>
      <c r="K4" s="8"/>
      <c r="T4" s="7"/>
      <c r="U4" s="8"/>
      <c r="V4" s="13"/>
      <c r="X4" s="7"/>
      <c r="Y4" s="12"/>
      <c r="Z4" s="8"/>
    </row>
    <row r="5" ht="14.25" customHeight="1">
      <c r="A5" s="7">
        <v>18.0</v>
      </c>
      <c r="B5" s="7" t="s">
        <v>11</v>
      </c>
      <c r="C5" s="7">
        <v>33.77</v>
      </c>
      <c r="D5" s="7">
        <v>1.0</v>
      </c>
      <c r="E5" s="7" t="s">
        <v>12</v>
      </c>
      <c r="F5" s="7" t="s">
        <v>13</v>
      </c>
      <c r="G5" s="7">
        <v>1725.5523</v>
      </c>
      <c r="H5" s="3"/>
      <c r="J5" s="7"/>
      <c r="K5" s="8"/>
      <c r="T5" s="7"/>
      <c r="U5" s="8"/>
      <c r="V5" s="13"/>
      <c r="X5" s="7"/>
      <c r="Y5" s="9"/>
      <c r="Z5" s="8"/>
    </row>
    <row r="6" ht="14.25" customHeight="1">
      <c r="A6" s="7">
        <v>28.0</v>
      </c>
      <c r="B6" s="7" t="s">
        <v>11</v>
      </c>
      <c r="C6" s="7">
        <v>33.0</v>
      </c>
      <c r="D6" s="7">
        <v>3.0</v>
      </c>
      <c r="E6" s="7" t="s">
        <v>12</v>
      </c>
      <c r="F6" s="7" t="s">
        <v>13</v>
      </c>
      <c r="G6" s="7">
        <v>4449.462</v>
      </c>
      <c r="H6" s="3"/>
    </row>
    <row r="7" ht="14.25" customHeight="1">
      <c r="A7" s="7">
        <v>33.0</v>
      </c>
      <c r="B7" s="7" t="s">
        <v>11</v>
      </c>
      <c r="C7" s="7">
        <v>22.705</v>
      </c>
      <c r="D7" s="7">
        <v>0.0</v>
      </c>
      <c r="E7" s="7" t="s">
        <v>12</v>
      </c>
      <c r="F7" s="7" t="s">
        <v>14</v>
      </c>
      <c r="G7" s="7">
        <v>21984.47061</v>
      </c>
      <c r="H7" s="3"/>
    </row>
    <row r="8" ht="14.25" customHeight="1">
      <c r="A8" s="7">
        <v>32.0</v>
      </c>
      <c r="B8" s="7" t="s">
        <v>11</v>
      </c>
      <c r="C8" s="7">
        <v>28.88</v>
      </c>
      <c r="D8" s="7">
        <v>0.0</v>
      </c>
      <c r="E8" s="7" t="s">
        <v>12</v>
      </c>
      <c r="F8" s="7" t="s">
        <v>14</v>
      </c>
      <c r="G8" s="7">
        <v>3866.8552</v>
      </c>
      <c r="H8" s="3"/>
    </row>
    <row r="9" ht="14.25" customHeight="1">
      <c r="A9" s="7">
        <v>31.0</v>
      </c>
      <c r="B9" s="7" t="s">
        <v>8</v>
      </c>
      <c r="C9" s="7">
        <v>25.74</v>
      </c>
      <c r="D9" s="7">
        <v>0.0</v>
      </c>
      <c r="E9" s="7" t="s">
        <v>12</v>
      </c>
      <c r="F9" s="7" t="s">
        <v>13</v>
      </c>
      <c r="G9" s="7">
        <v>3756.6216</v>
      </c>
      <c r="H9" s="3"/>
    </row>
    <row r="10" ht="14.25" customHeight="1">
      <c r="A10" s="7">
        <v>46.0</v>
      </c>
      <c r="B10" s="7" t="s">
        <v>8</v>
      </c>
      <c r="C10" s="7">
        <v>33.44</v>
      </c>
      <c r="D10" s="7">
        <v>1.0</v>
      </c>
      <c r="E10" s="7" t="s">
        <v>12</v>
      </c>
      <c r="F10" s="7" t="s">
        <v>13</v>
      </c>
      <c r="G10" s="7">
        <v>8240.5896</v>
      </c>
      <c r="H10" s="3"/>
    </row>
    <row r="11" ht="14.25" customHeight="1">
      <c r="A11" s="7">
        <v>37.0</v>
      </c>
      <c r="B11" s="7" t="s">
        <v>8</v>
      </c>
      <c r="C11" s="7">
        <v>27.74</v>
      </c>
      <c r="D11" s="7">
        <v>3.0</v>
      </c>
      <c r="E11" s="7" t="s">
        <v>12</v>
      </c>
      <c r="F11" s="7" t="s">
        <v>14</v>
      </c>
      <c r="G11" s="7">
        <v>7281.5056</v>
      </c>
      <c r="H11" s="3"/>
    </row>
    <row r="12" ht="14.25" customHeight="1">
      <c r="A12" s="7">
        <v>37.0</v>
      </c>
      <c r="B12" s="7" t="s">
        <v>11</v>
      </c>
      <c r="C12" s="7">
        <v>29.83</v>
      </c>
      <c r="D12" s="7">
        <v>2.0</v>
      </c>
      <c r="E12" s="7" t="s">
        <v>12</v>
      </c>
      <c r="F12" s="7" t="s">
        <v>15</v>
      </c>
      <c r="G12" s="7">
        <v>6406.4107</v>
      </c>
      <c r="H12" s="3"/>
    </row>
    <row r="13" ht="14.25" customHeight="1">
      <c r="A13" s="7">
        <v>60.0</v>
      </c>
      <c r="B13" s="7" t="s">
        <v>8</v>
      </c>
      <c r="C13" s="7">
        <v>25.84</v>
      </c>
      <c r="D13" s="7">
        <v>0.0</v>
      </c>
      <c r="E13" s="7" t="s">
        <v>12</v>
      </c>
      <c r="F13" s="7" t="s">
        <v>14</v>
      </c>
      <c r="G13" s="7">
        <v>28923.13692</v>
      </c>
      <c r="H13" s="3"/>
    </row>
    <row r="14" ht="14.25" customHeight="1">
      <c r="A14" s="7">
        <v>25.0</v>
      </c>
      <c r="B14" s="7" t="s">
        <v>11</v>
      </c>
      <c r="C14" s="7">
        <v>26.22</v>
      </c>
      <c r="D14" s="7">
        <v>0.0</v>
      </c>
      <c r="E14" s="7" t="s">
        <v>12</v>
      </c>
      <c r="F14" s="7" t="s">
        <v>15</v>
      </c>
      <c r="G14" s="7">
        <v>2721.3208</v>
      </c>
      <c r="H14" s="3"/>
    </row>
    <row r="15" ht="14.25" customHeight="1">
      <c r="A15" s="7">
        <v>62.0</v>
      </c>
      <c r="B15" s="7" t="s">
        <v>8</v>
      </c>
      <c r="C15" s="7">
        <v>26.29</v>
      </c>
      <c r="D15" s="7">
        <v>0.0</v>
      </c>
      <c r="E15" s="7" t="s">
        <v>9</v>
      </c>
      <c r="F15" s="7" t="s">
        <v>13</v>
      </c>
      <c r="G15" s="7">
        <v>27808.7251</v>
      </c>
      <c r="H15" s="3"/>
    </row>
    <row r="16" ht="14.25" customHeight="1">
      <c r="A16" s="7">
        <v>23.0</v>
      </c>
      <c r="B16" s="7" t="s">
        <v>11</v>
      </c>
      <c r="C16" s="7">
        <v>34.4</v>
      </c>
      <c r="D16" s="7">
        <v>0.0</v>
      </c>
      <c r="E16" s="7" t="s">
        <v>12</v>
      </c>
      <c r="F16" s="7" t="s">
        <v>10</v>
      </c>
      <c r="G16" s="7">
        <v>1826.843</v>
      </c>
      <c r="H16" s="3"/>
    </row>
    <row r="17" ht="14.25" customHeight="1">
      <c r="A17" s="7">
        <v>56.0</v>
      </c>
      <c r="B17" s="7" t="s">
        <v>8</v>
      </c>
      <c r="C17" s="7">
        <v>39.82</v>
      </c>
      <c r="D17" s="7">
        <v>0.0</v>
      </c>
      <c r="E17" s="7" t="s">
        <v>12</v>
      </c>
      <c r="F17" s="7" t="s">
        <v>13</v>
      </c>
      <c r="G17" s="7">
        <v>11090.7178</v>
      </c>
      <c r="H17" s="3"/>
    </row>
    <row r="18" ht="14.25" customHeight="1">
      <c r="A18" s="7">
        <v>27.0</v>
      </c>
      <c r="B18" s="7" t="s">
        <v>11</v>
      </c>
      <c r="C18" s="7">
        <v>42.13</v>
      </c>
      <c r="D18" s="7">
        <v>0.0</v>
      </c>
      <c r="E18" s="7" t="s">
        <v>9</v>
      </c>
      <c r="F18" s="7" t="s">
        <v>13</v>
      </c>
      <c r="G18" s="7">
        <v>39611.7577</v>
      </c>
      <c r="H18" s="3"/>
    </row>
    <row r="19" ht="14.25" customHeight="1">
      <c r="A19" s="7">
        <v>19.0</v>
      </c>
      <c r="B19" s="7" t="s">
        <v>11</v>
      </c>
      <c r="C19" s="7">
        <v>24.6</v>
      </c>
      <c r="D19" s="7">
        <v>1.0</v>
      </c>
      <c r="E19" s="7" t="s">
        <v>12</v>
      </c>
      <c r="F19" s="7" t="s">
        <v>10</v>
      </c>
      <c r="G19" s="7">
        <v>1837.237</v>
      </c>
      <c r="H19" s="3"/>
    </row>
    <row r="20" ht="14.25" customHeight="1">
      <c r="A20" s="7">
        <v>52.0</v>
      </c>
      <c r="B20" s="7" t="s">
        <v>8</v>
      </c>
      <c r="C20" s="7">
        <v>30.78</v>
      </c>
      <c r="D20" s="7">
        <v>1.0</v>
      </c>
      <c r="E20" s="7" t="s">
        <v>12</v>
      </c>
      <c r="F20" s="7" t="s">
        <v>15</v>
      </c>
      <c r="G20" s="7">
        <v>10797.3362</v>
      </c>
      <c r="H20" s="3"/>
    </row>
    <row r="21" ht="14.25" customHeight="1">
      <c r="A21" s="7">
        <v>23.0</v>
      </c>
      <c r="B21" s="7" t="s">
        <v>11</v>
      </c>
      <c r="C21" s="7">
        <v>23.845</v>
      </c>
      <c r="D21" s="7">
        <v>0.0</v>
      </c>
      <c r="E21" s="7" t="s">
        <v>12</v>
      </c>
      <c r="F21" s="7" t="s">
        <v>15</v>
      </c>
      <c r="G21" s="7">
        <v>2395.17155</v>
      </c>
      <c r="H21" s="3"/>
    </row>
    <row r="22" ht="14.25" customHeight="1">
      <c r="A22" s="7">
        <v>56.0</v>
      </c>
      <c r="B22" s="7" t="s">
        <v>11</v>
      </c>
      <c r="C22" s="7">
        <v>40.3</v>
      </c>
      <c r="D22" s="7">
        <v>0.0</v>
      </c>
      <c r="E22" s="7" t="s">
        <v>12</v>
      </c>
      <c r="F22" s="7" t="s">
        <v>10</v>
      </c>
      <c r="G22" s="7">
        <v>10602.385</v>
      </c>
      <c r="H22" s="3"/>
    </row>
    <row r="23" ht="14.25" customHeight="1">
      <c r="A23" s="7">
        <v>30.0</v>
      </c>
      <c r="B23" s="7" t="s">
        <v>11</v>
      </c>
      <c r="C23" s="7">
        <v>35.3</v>
      </c>
      <c r="D23" s="7">
        <v>0.0</v>
      </c>
      <c r="E23" s="7" t="s">
        <v>9</v>
      </c>
      <c r="F23" s="7" t="s">
        <v>10</v>
      </c>
      <c r="G23" s="7">
        <v>36837.467</v>
      </c>
      <c r="H23" s="3"/>
    </row>
    <row r="24" ht="14.25" customHeight="1">
      <c r="A24" s="7">
        <v>60.0</v>
      </c>
      <c r="B24" s="7" t="s">
        <v>8</v>
      </c>
      <c r="C24" s="7">
        <v>36.005</v>
      </c>
      <c r="D24" s="7">
        <v>0.0</v>
      </c>
      <c r="E24" s="7" t="s">
        <v>12</v>
      </c>
      <c r="F24" s="7" t="s">
        <v>15</v>
      </c>
      <c r="G24" s="7">
        <v>13228.84695</v>
      </c>
      <c r="H24" s="3"/>
    </row>
    <row r="25" ht="14.25" customHeight="1">
      <c r="A25" s="7">
        <v>30.0</v>
      </c>
      <c r="B25" s="7" t="s">
        <v>8</v>
      </c>
      <c r="C25" s="7">
        <v>32.4</v>
      </c>
      <c r="D25" s="7">
        <v>1.0</v>
      </c>
      <c r="E25" s="7" t="s">
        <v>12</v>
      </c>
      <c r="F25" s="7" t="s">
        <v>10</v>
      </c>
      <c r="G25" s="7">
        <v>4149.736</v>
      </c>
      <c r="H25" s="3"/>
    </row>
    <row r="26" ht="14.25" customHeight="1">
      <c r="A26" s="7">
        <v>18.0</v>
      </c>
      <c r="B26" s="7" t="s">
        <v>11</v>
      </c>
      <c r="C26" s="7">
        <v>34.1</v>
      </c>
      <c r="D26" s="7">
        <v>0.0</v>
      </c>
      <c r="E26" s="7" t="s">
        <v>12</v>
      </c>
      <c r="F26" s="7" t="s">
        <v>13</v>
      </c>
      <c r="G26" s="7">
        <v>1137.011</v>
      </c>
      <c r="H26" s="3"/>
    </row>
    <row r="27" ht="14.25" customHeight="1">
      <c r="A27" s="7">
        <v>34.0</v>
      </c>
      <c r="B27" s="7" t="s">
        <v>8</v>
      </c>
      <c r="C27" s="7">
        <v>31.92</v>
      </c>
      <c r="D27" s="7">
        <v>1.0</v>
      </c>
      <c r="E27" s="7" t="s">
        <v>9</v>
      </c>
      <c r="F27" s="7" t="s">
        <v>15</v>
      </c>
      <c r="G27" s="7">
        <v>37701.8768</v>
      </c>
      <c r="H27" s="3"/>
    </row>
    <row r="28" ht="14.25" customHeight="1">
      <c r="A28" s="7">
        <v>37.0</v>
      </c>
      <c r="B28" s="7" t="s">
        <v>11</v>
      </c>
      <c r="C28" s="7">
        <v>28.025</v>
      </c>
      <c r="D28" s="7">
        <v>2.0</v>
      </c>
      <c r="E28" s="7" t="s">
        <v>12</v>
      </c>
      <c r="F28" s="7" t="s">
        <v>14</v>
      </c>
      <c r="G28" s="7">
        <v>6203.90175</v>
      </c>
      <c r="H28" s="3"/>
    </row>
    <row r="29" ht="14.25" customHeight="1">
      <c r="A29" s="7">
        <v>59.0</v>
      </c>
      <c r="B29" s="7" t="s">
        <v>8</v>
      </c>
      <c r="C29" s="7">
        <v>27.72</v>
      </c>
      <c r="D29" s="7">
        <v>3.0</v>
      </c>
      <c r="E29" s="7" t="s">
        <v>12</v>
      </c>
      <c r="F29" s="7" t="s">
        <v>13</v>
      </c>
      <c r="G29" s="7">
        <v>14001.1338</v>
      </c>
      <c r="H29" s="3"/>
    </row>
    <row r="30" ht="14.25" customHeight="1">
      <c r="A30" s="7">
        <v>63.0</v>
      </c>
      <c r="B30" s="7" t="s">
        <v>8</v>
      </c>
      <c r="C30" s="7">
        <v>23.085</v>
      </c>
      <c r="D30" s="7">
        <v>0.0</v>
      </c>
      <c r="E30" s="7" t="s">
        <v>12</v>
      </c>
      <c r="F30" s="7" t="s">
        <v>15</v>
      </c>
      <c r="G30" s="7">
        <v>14451.83515</v>
      </c>
      <c r="H30" s="3"/>
    </row>
    <row r="31" ht="14.25" customHeight="1">
      <c r="A31" s="7">
        <v>55.0</v>
      </c>
      <c r="B31" s="7" t="s">
        <v>8</v>
      </c>
      <c r="C31" s="7">
        <v>32.775</v>
      </c>
      <c r="D31" s="7">
        <v>2.0</v>
      </c>
      <c r="E31" s="7" t="s">
        <v>12</v>
      </c>
      <c r="F31" s="7" t="s">
        <v>14</v>
      </c>
      <c r="G31" s="7">
        <v>12268.63225</v>
      </c>
      <c r="H31" s="3"/>
    </row>
    <row r="32" ht="14.25" customHeight="1">
      <c r="A32" s="7">
        <v>23.0</v>
      </c>
      <c r="B32" s="7" t="s">
        <v>11</v>
      </c>
      <c r="C32" s="7">
        <v>17.385</v>
      </c>
      <c r="D32" s="7">
        <v>1.0</v>
      </c>
      <c r="E32" s="7" t="s">
        <v>12</v>
      </c>
      <c r="F32" s="7" t="s">
        <v>14</v>
      </c>
      <c r="G32" s="7">
        <v>2775.19215</v>
      </c>
      <c r="H32" s="3"/>
    </row>
    <row r="33" ht="14.25" customHeight="1">
      <c r="A33" s="7">
        <v>31.0</v>
      </c>
      <c r="B33" s="7" t="s">
        <v>11</v>
      </c>
      <c r="C33" s="7">
        <v>36.3</v>
      </c>
      <c r="D33" s="7">
        <v>2.0</v>
      </c>
      <c r="E33" s="7" t="s">
        <v>9</v>
      </c>
      <c r="F33" s="7" t="s">
        <v>10</v>
      </c>
      <c r="G33" s="7">
        <v>38711.0</v>
      </c>
      <c r="H33" s="3"/>
    </row>
    <row r="34" ht="14.25" customHeight="1">
      <c r="A34" s="7">
        <v>22.0</v>
      </c>
      <c r="B34" s="7" t="s">
        <v>11</v>
      </c>
      <c r="C34" s="7">
        <v>35.6</v>
      </c>
      <c r="D34" s="7">
        <v>0.0</v>
      </c>
      <c r="E34" s="7" t="s">
        <v>9</v>
      </c>
      <c r="F34" s="7" t="s">
        <v>10</v>
      </c>
      <c r="G34" s="7">
        <v>35585.576</v>
      </c>
      <c r="H34" s="3"/>
    </row>
    <row r="35" ht="14.25" customHeight="1">
      <c r="A35" s="7">
        <v>18.0</v>
      </c>
      <c r="B35" s="7" t="s">
        <v>8</v>
      </c>
      <c r="C35" s="7">
        <v>26.315</v>
      </c>
      <c r="D35" s="7">
        <v>0.0</v>
      </c>
      <c r="E35" s="7" t="s">
        <v>12</v>
      </c>
      <c r="F35" s="7" t="s">
        <v>15</v>
      </c>
      <c r="G35" s="7">
        <v>2198.18985</v>
      </c>
      <c r="H35" s="3"/>
    </row>
    <row r="36" ht="14.25" customHeight="1">
      <c r="A36" s="7">
        <v>19.0</v>
      </c>
      <c r="B36" s="7" t="s">
        <v>8</v>
      </c>
      <c r="C36" s="7">
        <v>28.6</v>
      </c>
      <c r="D36" s="7">
        <v>5.0</v>
      </c>
      <c r="E36" s="7" t="s">
        <v>12</v>
      </c>
      <c r="F36" s="7" t="s">
        <v>10</v>
      </c>
      <c r="G36" s="7">
        <v>4687.797</v>
      </c>
      <c r="H36" s="3"/>
    </row>
    <row r="37" ht="14.25" customHeight="1">
      <c r="A37" s="7">
        <v>63.0</v>
      </c>
      <c r="B37" s="7" t="s">
        <v>11</v>
      </c>
      <c r="C37" s="7">
        <v>28.31</v>
      </c>
      <c r="D37" s="7">
        <v>0.0</v>
      </c>
      <c r="E37" s="7" t="s">
        <v>12</v>
      </c>
      <c r="F37" s="7" t="s">
        <v>14</v>
      </c>
      <c r="G37" s="7">
        <v>13770.0979</v>
      </c>
      <c r="H37" s="3"/>
    </row>
    <row r="38" ht="14.25" customHeight="1">
      <c r="A38" s="7">
        <v>28.0</v>
      </c>
      <c r="B38" s="7" t="s">
        <v>11</v>
      </c>
      <c r="C38" s="7">
        <v>36.4</v>
      </c>
      <c r="D38" s="7">
        <v>1.0</v>
      </c>
      <c r="E38" s="7" t="s">
        <v>9</v>
      </c>
      <c r="F38" s="7" t="s">
        <v>10</v>
      </c>
      <c r="G38" s="7">
        <v>51194.55914</v>
      </c>
      <c r="H38" s="3"/>
    </row>
    <row r="39" ht="14.25" customHeight="1">
      <c r="A39" s="7">
        <v>19.0</v>
      </c>
      <c r="B39" s="7" t="s">
        <v>11</v>
      </c>
      <c r="C39" s="7">
        <v>20.425</v>
      </c>
      <c r="D39" s="7">
        <v>0.0</v>
      </c>
      <c r="E39" s="7" t="s">
        <v>12</v>
      </c>
      <c r="F39" s="7" t="s">
        <v>14</v>
      </c>
      <c r="G39" s="7">
        <v>1625.43375</v>
      </c>
      <c r="H39" s="3"/>
    </row>
    <row r="40" ht="14.25" customHeight="1">
      <c r="A40" s="7">
        <v>62.0</v>
      </c>
      <c r="B40" s="7" t="s">
        <v>8</v>
      </c>
      <c r="C40" s="7">
        <v>32.965</v>
      </c>
      <c r="D40" s="7">
        <v>3.0</v>
      </c>
      <c r="E40" s="7" t="s">
        <v>12</v>
      </c>
      <c r="F40" s="7" t="s">
        <v>14</v>
      </c>
      <c r="G40" s="7">
        <v>15612.19335</v>
      </c>
      <c r="H40" s="3"/>
    </row>
    <row r="41" ht="14.25" customHeight="1">
      <c r="A41" s="7">
        <v>26.0</v>
      </c>
      <c r="B41" s="7" t="s">
        <v>11</v>
      </c>
      <c r="C41" s="7">
        <v>20.8</v>
      </c>
      <c r="D41" s="7">
        <v>0.0</v>
      </c>
      <c r="E41" s="7" t="s">
        <v>12</v>
      </c>
      <c r="F41" s="7" t="s">
        <v>10</v>
      </c>
      <c r="G41" s="7">
        <v>2302.3</v>
      </c>
      <c r="H41" s="3"/>
    </row>
    <row r="42" ht="14.25" customHeight="1">
      <c r="A42" s="7">
        <v>35.0</v>
      </c>
      <c r="B42" s="7" t="s">
        <v>11</v>
      </c>
      <c r="C42" s="7">
        <v>36.67</v>
      </c>
      <c r="D42" s="7">
        <v>1.0</v>
      </c>
      <c r="E42" s="7" t="s">
        <v>9</v>
      </c>
      <c r="F42" s="7" t="s">
        <v>15</v>
      </c>
      <c r="G42" s="7">
        <v>39774.2763</v>
      </c>
      <c r="H42" s="3"/>
    </row>
    <row r="43" ht="14.25" customHeight="1">
      <c r="A43" s="7">
        <v>60.0</v>
      </c>
      <c r="B43" s="7" t="s">
        <v>11</v>
      </c>
      <c r="C43" s="7">
        <v>39.9</v>
      </c>
      <c r="D43" s="7">
        <v>0.0</v>
      </c>
      <c r="E43" s="7" t="s">
        <v>9</v>
      </c>
      <c r="F43" s="7" t="s">
        <v>10</v>
      </c>
      <c r="G43" s="7">
        <v>48173.361</v>
      </c>
      <c r="H43" s="3"/>
    </row>
    <row r="44" ht="14.25" customHeight="1">
      <c r="A44" s="7">
        <v>24.0</v>
      </c>
      <c r="B44" s="7" t="s">
        <v>8</v>
      </c>
      <c r="C44" s="7">
        <v>26.6</v>
      </c>
      <c r="D44" s="7">
        <v>0.0</v>
      </c>
      <c r="E44" s="7" t="s">
        <v>12</v>
      </c>
      <c r="F44" s="7" t="s">
        <v>15</v>
      </c>
      <c r="G44" s="7">
        <v>3046.062</v>
      </c>
      <c r="H44" s="3"/>
    </row>
    <row r="45" ht="14.25" customHeight="1">
      <c r="A45" s="7">
        <v>31.0</v>
      </c>
      <c r="B45" s="7" t="s">
        <v>8</v>
      </c>
      <c r="C45" s="7">
        <v>36.63</v>
      </c>
      <c r="D45" s="7">
        <v>2.0</v>
      </c>
      <c r="E45" s="7" t="s">
        <v>12</v>
      </c>
      <c r="F45" s="7" t="s">
        <v>13</v>
      </c>
      <c r="G45" s="7">
        <v>4949.7587</v>
      </c>
      <c r="H45" s="3"/>
    </row>
    <row r="46" ht="14.25" customHeight="1">
      <c r="A46" s="7">
        <v>41.0</v>
      </c>
      <c r="B46" s="7" t="s">
        <v>11</v>
      </c>
      <c r="C46" s="7">
        <v>21.78</v>
      </c>
      <c r="D46" s="7">
        <v>1.0</v>
      </c>
      <c r="E46" s="7" t="s">
        <v>12</v>
      </c>
      <c r="F46" s="7" t="s">
        <v>13</v>
      </c>
      <c r="G46" s="7">
        <v>6272.4772</v>
      </c>
      <c r="H46" s="3"/>
    </row>
    <row r="47" ht="14.25" customHeight="1">
      <c r="A47" s="7">
        <v>37.0</v>
      </c>
      <c r="B47" s="7" t="s">
        <v>8</v>
      </c>
      <c r="C47" s="7">
        <v>30.8</v>
      </c>
      <c r="D47" s="7">
        <v>2.0</v>
      </c>
      <c r="E47" s="7" t="s">
        <v>12</v>
      </c>
      <c r="F47" s="7" t="s">
        <v>13</v>
      </c>
      <c r="G47" s="7">
        <v>6313.759</v>
      </c>
      <c r="H47" s="3"/>
    </row>
    <row r="48" ht="14.25" customHeight="1">
      <c r="A48" s="7">
        <v>38.0</v>
      </c>
      <c r="B48" s="7" t="s">
        <v>11</v>
      </c>
      <c r="C48" s="7">
        <v>37.05</v>
      </c>
      <c r="D48" s="7">
        <v>1.0</v>
      </c>
      <c r="E48" s="7" t="s">
        <v>12</v>
      </c>
      <c r="F48" s="7" t="s">
        <v>15</v>
      </c>
      <c r="G48" s="7">
        <v>6079.6715</v>
      </c>
      <c r="H48" s="3"/>
    </row>
    <row r="49" ht="14.25" customHeight="1">
      <c r="A49" s="7">
        <v>55.0</v>
      </c>
      <c r="B49" s="7" t="s">
        <v>11</v>
      </c>
      <c r="C49" s="7">
        <v>37.3</v>
      </c>
      <c r="D49" s="7">
        <v>0.0</v>
      </c>
      <c r="E49" s="7" t="s">
        <v>12</v>
      </c>
      <c r="F49" s="7" t="s">
        <v>10</v>
      </c>
      <c r="G49" s="7">
        <v>20630.28351</v>
      </c>
      <c r="H49" s="3"/>
    </row>
    <row r="50" ht="14.25" customHeight="1">
      <c r="A50" s="7">
        <v>18.0</v>
      </c>
      <c r="B50" s="7" t="s">
        <v>8</v>
      </c>
      <c r="C50" s="7">
        <v>38.665</v>
      </c>
      <c r="D50" s="7">
        <v>2.0</v>
      </c>
      <c r="E50" s="7" t="s">
        <v>12</v>
      </c>
      <c r="F50" s="7" t="s">
        <v>15</v>
      </c>
      <c r="G50" s="7">
        <v>3393.35635</v>
      </c>
      <c r="H50" s="3"/>
    </row>
    <row r="51" ht="14.25" customHeight="1">
      <c r="A51" s="7">
        <v>28.0</v>
      </c>
      <c r="B51" s="7" t="s">
        <v>8</v>
      </c>
      <c r="C51" s="7">
        <v>34.77</v>
      </c>
      <c r="D51" s="7">
        <v>0.0</v>
      </c>
      <c r="E51" s="7" t="s">
        <v>12</v>
      </c>
      <c r="F51" s="7" t="s">
        <v>14</v>
      </c>
      <c r="G51" s="7">
        <v>3556.9223</v>
      </c>
      <c r="H51" s="3"/>
    </row>
    <row r="52" ht="14.25" customHeight="1">
      <c r="A52" s="7">
        <v>60.0</v>
      </c>
      <c r="B52" s="7" t="s">
        <v>8</v>
      </c>
      <c r="C52" s="7">
        <v>24.53</v>
      </c>
      <c r="D52" s="7">
        <v>0.0</v>
      </c>
      <c r="E52" s="7" t="s">
        <v>12</v>
      </c>
      <c r="F52" s="7" t="s">
        <v>13</v>
      </c>
      <c r="G52" s="7">
        <v>12629.8967</v>
      </c>
      <c r="H52" s="3"/>
    </row>
    <row r="53" ht="14.25" customHeight="1">
      <c r="A53" s="7">
        <v>36.0</v>
      </c>
      <c r="B53" s="7" t="s">
        <v>11</v>
      </c>
      <c r="C53" s="7">
        <v>35.2</v>
      </c>
      <c r="D53" s="7">
        <v>1.0</v>
      </c>
      <c r="E53" s="7" t="s">
        <v>9</v>
      </c>
      <c r="F53" s="7" t="s">
        <v>13</v>
      </c>
      <c r="G53" s="7">
        <v>38709.176</v>
      </c>
      <c r="H53" s="3"/>
    </row>
    <row r="54" ht="14.25" customHeight="1">
      <c r="A54" s="7">
        <v>18.0</v>
      </c>
      <c r="B54" s="7" t="s">
        <v>8</v>
      </c>
      <c r="C54" s="7">
        <v>35.625</v>
      </c>
      <c r="D54" s="7">
        <v>0.0</v>
      </c>
      <c r="E54" s="7" t="s">
        <v>12</v>
      </c>
      <c r="F54" s="7" t="s">
        <v>15</v>
      </c>
      <c r="G54" s="7">
        <v>2211.13075</v>
      </c>
      <c r="H54" s="3"/>
    </row>
    <row r="55" ht="14.25" customHeight="1">
      <c r="A55" s="7">
        <v>21.0</v>
      </c>
      <c r="B55" s="7" t="s">
        <v>8</v>
      </c>
      <c r="C55" s="7">
        <v>33.63</v>
      </c>
      <c r="D55" s="7">
        <v>2.0</v>
      </c>
      <c r="E55" s="7" t="s">
        <v>12</v>
      </c>
      <c r="F55" s="7" t="s">
        <v>14</v>
      </c>
      <c r="G55" s="7">
        <v>3579.8287</v>
      </c>
      <c r="H55" s="3"/>
    </row>
    <row r="56" ht="14.25" customHeight="1">
      <c r="A56" s="7">
        <v>48.0</v>
      </c>
      <c r="B56" s="7" t="s">
        <v>11</v>
      </c>
      <c r="C56" s="7">
        <v>28.0</v>
      </c>
      <c r="D56" s="7">
        <v>1.0</v>
      </c>
      <c r="E56" s="7" t="s">
        <v>9</v>
      </c>
      <c r="F56" s="7" t="s">
        <v>10</v>
      </c>
      <c r="G56" s="7">
        <v>23568.272</v>
      </c>
      <c r="H56" s="3"/>
    </row>
    <row r="57" ht="14.25" customHeight="1">
      <c r="A57" s="7">
        <v>36.0</v>
      </c>
      <c r="B57" s="7" t="s">
        <v>11</v>
      </c>
      <c r="C57" s="7">
        <v>34.43</v>
      </c>
      <c r="D57" s="7">
        <v>0.0</v>
      </c>
      <c r="E57" s="7" t="s">
        <v>9</v>
      </c>
      <c r="F57" s="7" t="s">
        <v>13</v>
      </c>
      <c r="G57" s="7">
        <v>37742.5757</v>
      </c>
      <c r="H57" s="3"/>
    </row>
    <row r="58" ht="14.25" customHeight="1">
      <c r="A58" s="7">
        <v>40.0</v>
      </c>
      <c r="B58" s="7" t="s">
        <v>8</v>
      </c>
      <c r="C58" s="7">
        <v>28.69</v>
      </c>
      <c r="D58" s="7">
        <v>3.0</v>
      </c>
      <c r="E58" s="7" t="s">
        <v>12</v>
      </c>
      <c r="F58" s="7" t="s">
        <v>14</v>
      </c>
      <c r="G58" s="7">
        <v>8059.6791</v>
      </c>
      <c r="H58" s="3"/>
    </row>
    <row r="59" ht="14.25" customHeight="1">
      <c r="A59" s="7">
        <v>58.0</v>
      </c>
      <c r="B59" s="7" t="s">
        <v>11</v>
      </c>
      <c r="C59" s="7">
        <v>36.955</v>
      </c>
      <c r="D59" s="7">
        <v>2.0</v>
      </c>
      <c r="E59" s="7" t="s">
        <v>9</v>
      </c>
      <c r="F59" s="7" t="s">
        <v>14</v>
      </c>
      <c r="G59" s="7">
        <v>47496.49445</v>
      </c>
      <c r="H59" s="3"/>
    </row>
    <row r="60" ht="14.25" customHeight="1">
      <c r="A60" s="7">
        <v>58.0</v>
      </c>
      <c r="B60" s="7" t="s">
        <v>8</v>
      </c>
      <c r="C60" s="7">
        <v>31.825</v>
      </c>
      <c r="D60" s="7">
        <v>2.0</v>
      </c>
      <c r="E60" s="7" t="s">
        <v>12</v>
      </c>
      <c r="F60" s="7" t="s">
        <v>15</v>
      </c>
      <c r="G60" s="7">
        <v>13607.36875</v>
      </c>
      <c r="H60" s="3"/>
    </row>
    <row r="61" ht="14.25" customHeight="1">
      <c r="A61" s="7">
        <v>18.0</v>
      </c>
      <c r="B61" s="7" t="s">
        <v>11</v>
      </c>
      <c r="C61" s="7">
        <v>31.68</v>
      </c>
      <c r="D61" s="7">
        <v>2.0</v>
      </c>
      <c r="E61" s="7" t="s">
        <v>9</v>
      </c>
      <c r="F61" s="7" t="s">
        <v>13</v>
      </c>
      <c r="G61" s="7">
        <v>34303.1672</v>
      </c>
      <c r="H61" s="3"/>
    </row>
    <row r="62" ht="14.25" customHeight="1">
      <c r="A62" s="7">
        <v>53.0</v>
      </c>
      <c r="B62" s="7" t="s">
        <v>8</v>
      </c>
      <c r="C62" s="7">
        <v>22.88</v>
      </c>
      <c r="D62" s="7">
        <v>1.0</v>
      </c>
      <c r="E62" s="7" t="s">
        <v>9</v>
      </c>
      <c r="F62" s="7" t="s">
        <v>13</v>
      </c>
      <c r="G62" s="7">
        <v>23244.7902</v>
      </c>
      <c r="H62" s="3"/>
    </row>
    <row r="63" ht="14.25" customHeight="1">
      <c r="A63" s="7">
        <v>34.0</v>
      </c>
      <c r="B63" s="7" t="s">
        <v>8</v>
      </c>
      <c r="C63" s="7">
        <v>37.335</v>
      </c>
      <c r="D63" s="7">
        <v>2.0</v>
      </c>
      <c r="E63" s="7" t="s">
        <v>12</v>
      </c>
      <c r="F63" s="7" t="s">
        <v>14</v>
      </c>
      <c r="G63" s="7">
        <v>5989.52365</v>
      </c>
      <c r="H63" s="3"/>
    </row>
    <row r="64" ht="14.25" customHeight="1">
      <c r="A64" s="7">
        <v>43.0</v>
      </c>
      <c r="B64" s="7" t="s">
        <v>11</v>
      </c>
      <c r="C64" s="7">
        <v>27.36</v>
      </c>
      <c r="D64" s="7">
        <v>3.0</v>
      </c>
      <c r="E64" s="7" t="s">
        <v>12</v>
      </c>
      <c r="F64" s="7" t="s">
        <v>15</v>
      </c>
      <c r="G64" s="7">
        <v>8606.2174</v>
      </c>
      <c r="H64" s="3"/>
    </row>
    <row r="65" ht="14.25" customHeight="1">
      <c r="A65" s="7">
        <v>25.0</v>
      </c>
      <c r="B65" s="7" t="s">
        <v>11</v>
      </c>
      <c r="C65" s="7">
        <v>33.66</v>
      </c>
      <c r="D65" s="7">
        <v>4.0</v>
      </c>
      <c r="E65" s="7" t="s">
        <v>12</v>
      </c>
      <c r="F65" s="7" t="s">
        <v>13</v>
      </c>
      <c r="G65" s="7">
        <v>4504.6624</v>
      </c>
      <c r="H65" s="3"/>
    </row>
    <row r="66" ht="14.25" customHeight="1">
      <c r="A66" s="7">
        <v>64.0</v>
      </c>
      <c r="B66" s="7" t="s">
        <v>11</v>
      </c>
      <c r="C66" s="7">
        <v>24.7</v>
      </c>
      <c r="D66" s="7">
        <v>1.0</v>
      </c>
      <c r="E66" s="7" t="s">
        <v>12</v>
      </c>
      <c r="F66" s="7" t="s">
        <v>14</v>
      </c>
      <c r="G66" s="7">
        <v>30166.61817</v>
      </c>
      <c r="H66" s="3"/>
    </row>
    <row r="67" ht="14.25" customHeight="1">
      <c r="A67" s="7">
        <v>28.0</v>
      </c>
      <c r="B67" s="7" t="s">
        <v>8</v>
      </c>
      <c r="C67" s="7">
        <v>25.935</v>
      </c>
      <c r="D67" s="7">
        <v>1.0</v>
      </c>
      <c r="E67" s="7" t="s">
        <v>12</v>
      </c>
      <c r="F67" s="7" t="s">
        <v>14</v>
      </c>
      <c r="G67" s="7">
        <v>4133.64165</v>
      </c>
      <c r="H67" s="3"/>
    </row>
    <row r="68" ht="14.25" customHeight="1">
      <c r="A68" s="7">
        <v>20.0</v>
      </c>
      <c r="B68" s="7" t="s">
        <v>8</v>
      </c>
      <c r="C68" s="7">
        <v>22.42</v>
      </c>
      <c r="D68" s="7">
        <v>0.0</v>
      </c>
      <c r="E68" s="7" t="s">
        <v>9</v>
      </c>
      <c r="F68" s="7" t="s">
        <v>14</v>
      </c>
      <c r="G68" s="7">
        <v>14711.7438</v>
      </c>
      <c r="H68" s="3"/>
    </row>
    <row r="69" ht="14.25" customHeight="1">
      <c r="A69" s="7">
        <v>19.0</v>
      </c>
      <c r="B69" s="7" t="s">
        <v>8</v>
      </c>
      <c r="C69" s="7">
        <v>28.9</v>
      </c>
      <c r="D69" s="7">
        <v>0.0</v>
      </c>
      <c r="E69" s="7" t="s">
        <v>12</v>
      </c>
      <c r="F69" s="7" t="s">
        <v>10</v>
      </c>
      <c r="G69" s="7">
        <v>1743.214</v>
      </c>
      <c r="H69" s="3"/>
    </row>
    <row r="70" ht="14.25" customHeight="1">
      <c r="A70" s="7">
        <v>61.0</v>
      </c>
      <c r="B70" s="7" t="s">
        <v>8</v>
      </c>
      <c r="C70" s="7">
        <v>39.1</v>
      </c>
      <c r="D70" s="7">
        <v>2.0</v>
      </c>
      <c r="E70" s="7" t="s">
        <v>12</v>
      </c>
      <c r="F70" s="7" t="s">
        <v>10</v>
      </c>
      <c r="G70" s="7">
        <v>14235.072</v>
      </c>
      <c r="H70" s="3"/>
    </row>
    <row r="71" ht="14.25" customHeight="1">
      <c r="A71" s="7">
        <v>40.0</v>
      </c>
      <c r="B71" s="7" t="s">
        <v>11</v>
      </c>
      <c r="C71" s="7">
        <v>26.315</v>
      </c>
      <c r="D71" s="7">
        <v>1.0</v>
      </c>
      <c r="E71" s="7" t="s">
        <v>12</v>
      </c>
      <c r="F71" s="7" t="s">
        <v>14</v>
      </c>
      <c r="G71" s="7">
        <v>6389.37785</v>
      </c>
      <c r="H71" s="3"/>
    </row>
    <row r="72" ht="14.25" customHeight="1">
      <c r="A72" s="7">
        <v>40.0</v>
      </c>
      <c r="B72" s="7" t="s">
        <v>8</v>
      </c>
      <c r="C72" s="7">
        <v>36.19</v>
      </c>
      <c r="D72" s="7">
        <v>0.0</v>
      </c>
      <c r="E72" s="7" t="s">
        <v>12</v>
      </c>
      <c r="F72" s="7" t="s">
        <v>13</v>
      </c>
      <c r="G72" s="7">
        <v>5920.1041</v>
      </c>
      <c r="H72" s="3"/>
    </row>
    <row r="73" ht="14.25" customHeight="1">
      <c r="A73" s="7">
        <v>28.0</v>
      </c>
      <c r="B73" s="7" t="s">
        <v>11</v>
      </c>
      <c r="C73" s="7">
        <v>23.98</v>
      </c>
      <c r="D73" s="7">
        <v>3.0</v>
      </c>
      <c r="E73" s="7" t="s">
        <v>9</v>
      </c>
      <c r="F73" s="7" t="s">
        <v>13</v>
      </c>
      <c r="G73" s="7">
        <v>17663.1442</v>
      </c>
      <c r="H73" s="3"/>
    </row>
    <row r="74" ht="14.25" customHeight="1">
      <c r="A74" s="7">
        <v>27.0</v>
      </c>
      <c r="B74" s="7" t="s">
        <v>8</v>
      </c>
      <c r="C74" s="7">
        <v>24.75</v>
      </c>
      <c r="D74" s="7">
        <v>0.0</v>
      </c>
      <c r="E74" s="7" t="s">
        <v>9</v>
      </c>
      <c r="F74" s="7" t="s">
        <v>13</v>
      </c>
      <c r="G74" s="7">
        <v>16577.7795</v>
      </c>
      <c r="H74" s="3"/>
    </row>
    <row r="75" ht="14.25" customHeight="1">
      <c r="A75" s="7">
        <v>31.0</v>
      </c>
      <c r="B75" s="7" t="s">
        <v>11</v>
      </c>
      <c r="C75" s="7">
        <v>28.5</v>
      </c>
      <c r="D75" s="7">
        <v>5.0</v>
      </c>
      <c r="E75" s="7" t="s">
        <v>12</v>
      </c>
      <c r="F75" s="7" t="s">
        <v>15</v>
      </c>
      <c r="G75" s="7">
        <v>6799.458</v>
      </c>
      <c r="H75" s="3"/>
    </row>
    <row r="76" ht="14.25" customHeight="1">
      <c r="A76" s="7">
        <v>53.0</v>
      </c>
      <c r="B76" s="7" t="s">
        <v>8</v>
      </c>
      <c r="C76" s="7">
        <v>28.1</v>
      </c>
      <c r="D76" s="7">
        <v>3.0</v>
      </c>
      <c r="E76" s="7" t="s">
        <v>12</v>
      </c>
      <c r="F76" s="7" t="s">
        <v>10</v>
      </c>
      <c r="G76" s="7">
        <v>11741.726</v>
      </c>
      <c r="H76" s="3"/>
    </row>
    <row r="77" ht="14.25" customHeight="1">
      <c r="A77" s="7">
        <v>58.0</v>
      </c>
      <c r="B77" s="7" t="s">
        <v>11</v>
      </c>
      <c r="C77" s="7">
        <v>32.01</v>
      </c>
      <c r="D77" s="7">
        <v>1.0</v>
      </c>
      <c r="E77" s="7" t="s">
        <v>12</v>
      </c>
      <c r="F77" s="7" t="s">
        <v>13</v>
      </c>
      <c r="G77" s="7">
        <v>11946.6259</v>
      </c>
      <c r="H77" s="3"/>
    </row>
    <row r="78" ht="14.25" customHeight="1">
      <c r="A78" s="7">
        <v>44.0</v>
      </c>
      <c r="B78" s="7" t="s">
        <v>11</v>
      </c>
      <c r="C78" s="7">
        <v>27.4</v>
      </c>
      <c r="D78" s="7">
        <v>2.0</v>
      </c>
      <c r="E78" s="7" t="s">
        <v>12</v>
      </c>
      <c r="F78" s="7" t="s">
        <v>10</v>
      </c>
      <c r="G78" s="7">
        <v>7726.854</v>
      </c>
      <c r="H78" s="3"/>
    </row>
    <row r="79" ht="14.25" customHeight="1">
      <c r="A79" s="7">
        <v>57.0</v>
      </c>
      <c r="B79" s="7" t="s">
        <v>11</v>
      </c>
      <c r="C79" s="7">
        <v>34.01</v>
      </c>
      <c r="D79" s="7">
        <v>0.0</v>
      </c>
      <c r="E79" s="7" t="s">
        <v>12</v>
      </c>
      <c r="F79" s="7" t="s">
        <v>14</v>
      </c>
      <c r="G79" s="7">
        <v>11356.6609</v>
      </c>
      <c r="H79" s="3"/>
    </row>
    <row r="80" ht="14.25" customHeight="1">
      <c r="A80" s="7">
        <v>29.0</v>
      </c>
      <c r="B80" s="7" t="s">
        <v>8</v>
      </c>
      <c r="C80" s="7">
        <v>29.59</v>
      </c>
      <c r="D80" s="7">
        <v>1.0</v>
      </c>
      <c r="E80" s="7" t="s">
        <v>12</v>
      </c>
      <c r="F80" s="7" t="s">
        <v>13</v>
      </c>
      <c r="G80" s="7">
        <v>3947.4131</v>
      </c>
      <c r="H80" s="3"/>
    </row>
    <row r="81" ht="14.25" customHeight="1">
      <c r="A81" s="7">
        <v>21.0</v>
      </c>
      <c r="B81" s="7" t="s">
        <v>11</v>
      </c>
      <c r="C81" s="7">
        <v>35.53</v>
      </c>
      <c r="D81" s="7">
        <v>0.0</v>
      </c>
      <c r="E81" s="7" t="s">
        <v>12</v>
      </c>
      <c r="F81" s="7" t="s">
        <v>13</v>
      </c>
      <c r="G81" s="7">
        <v>1532.4697</v>
      </c>
      <c r="H81" s="3"/>
    </row>
    <row r="82" ht="14.25" customHeight="1">
      <c r="A82" s="7">
        <v>22.0</v>
      </c>
      <c r="B82" s="7" t="s">
        <v>8</v>
      </c>
      <c r="C82" s="7">
        <v>39.805</v>
      </c>
      <c r="D82" s="7">
        <v>0.0</v>
      </c>
      <c r="E82" s="7" t="s">
        <v>12</v>
      </c>
      <c r="F82" s="7" t="s">
        <v>15</v>
      </c>
      <c r="G82" s="7">
        <v>2755.02095</v>
      </c>
      <c r="H82" s="3"/>
    </row>
    <row r="83" ht="14.25" customHeight="1">
      <c r="A83" s="7">
        <v>41.0</v>
      </c>
      <c r="B83" s="7" t="s">
        <v>8</v>
      </c>
      <c r="C83" s="7">
        <v>32.965</v>
      </c>
      <c r="D83" s="7">
        <v>0.0</v>
      </c>
      <c r="E83" s="7" t="s">
        <v>12</v>
      </c>
      <c r="F83" s="7" t="s">
        <v>14</v>
      </c>
      <c r="G83" s="7">
        <v>6571.02435</v>
      </c>
      <c r="H83" s="3"/>
    </row>
    <row r="84" ht="14.25" customHeight="1">
      <c r="A84" s="7">
        <v>31.0</v>
      </c>
      <c r="B84" s="7" t="s">
        <v>11</v>
      </c>
      <c r="C84" s="7">
        <v>26.885</v>
      </c>
      <c r="D84" s="7">
        <v>1.0</v>
      </c>
      <c r="E84" s="7" t="s">
        <v>12</v>
      </c>
      <c r="F84" s="7" t="s">
        <v>15</v>
      </c>
      <c r="G84" s="7">
        <v>4441.21315</v>
      </c>
      <c r="H84" s="3"/>
    </row>
    <row r="85" ht="14.25" customHeight="1">
      <c r="A85" s="7">
        <v>45.0</v>
      </c>
      <c r="B85" s="7" t="s">
        <v>8</v>
      </c>
      <c r="C85" s="7">
        <v>38.285</v>
      </c>
      <c r="D85" s="7">
        <v>0.0</v>
      </c>
      <c r="E85" s="7" t="s">
        <v>12</v>
      </c>
      <c r="F85" s="7" t="s">
        <v>15</v>
      </c>
      <c r="G85" s="7">
        <v>7935.29115</v>
      </c>
      <c r="H85" s="3"/>
    </row>
    <row r="86" ht="14.25" customHeight="1">
      <c r="A86" s="7">
        <v>22.0</v>
      </c>
      <c r="B86" s="7" t="s">
        <v>11</v>
      </c>
      <c r="C86" s="7">
        <v>37.62</v>
      </c>
      <c r="D86" s="7">
        <v>1.0</v>
      </c>
      <c r="E86" s="7" t="s">
        <v>9</v>
      </c>
      <c r="F86" s="7" t="s">
        <v>13</v>
      </c>
      <c r="G86" s="7">
        <v>37165.1638</v>
      </c>
      <c r="H86" s="3"/>
    </row>
    <row r="87" ht="14.25" customHeight="1">
      <c r="A87" s="7">
        <v>48.0</v>
      </c>
      <c r="B87" s="7" t="s">
        <v>8</v>
      </c>
      <c r="C87" s="7">
        <v>41.23</v>
      </c>
      <c r="D87" s="7">
        <v>4.0</v>
      </c>
      <c r="E87" s="7" t="s">
        <v>12</v>
      </c>
      <c r="F87" s="7" t="s">
        <v>14</v>
      </c>
      <c r="G87" s="7">
        <v>11033.6617</v>
      </c>
      <c r="H87" s="3"/>
    </row>
    <row r="88" ht="14.25" customHeight="1">
      <c r="A88" s="7">
        <v>37.0</v>
      </c>
      <c r="B88" s="7" t="s">
        <v>8</v>
      </c>
      <c r="C88" s="7">
        <v>34.8</v>
      </c>
      <c r="D88" s="7">
        <v>2.0</v>
      </c>
      <c r="E88" s="7" t="s">
        <v>9</v>
      </c>
      <c r="F88" s="7" t="s">
        <v>10</v>
      </c>
      <c r="G88" s="7">
        <v>39836.519</v>
      </c>
      <c r="H88" s="3"/>
    </row>
    <row r="89" ht="14.25" customHeight="1">
      <c r="A89" s="7">
        <v>45.0</v>
      </c>
      <c r="B89" s="7" t="s">
        <v>11</v>
      </c>
      <c r="C89" s="7">
        <v>22.895</v>
      </c>
      <c r="D89" s="7">
        <v>2.0</v>
      </c>
      <c r="E89" s="7" t="s">
        <v>9</v>
      </c>
      <c r="F89" s="7" t="s">
        <v>14</v>
      </c>
      <c r="G89" s="7">
        <v>21098.55405</v>
      </c>
      <c r="H89" s="3"/>
    </row>
    <row r="90" ht="14.25" customHeight="1">
      <c r="A90" s="7">
        <v>57.0</v>
      </c>
      <c r="B90" s="7" t="s">
        <v>8</v>
      </c>
      <c r="C90" s="7">
        <v>31.16</v>
      </c>
      <c r="D90" s="7">
        <v>0.0</v>
      </c>
      <c r="E90" s="7" t="s">
        <v>9</v>
      </c>
      <c r="F90" s="7" t="s">
        <v>14</v>
      </c>
      <c r="G90" s="7">
        <v>43578.9394</v>
      </c>
      <c r="H90" s="3"/>
    </row>
    <row r="91" ht="14.25" customHeight="1">
      <c r="A91" s="7">
        <v>56.0</v>
      </c>
      <c r="B91" s="7" t="s">
        <v>8</v>
      </c>
      <c r="C91" s="7">
        <v>27.2</v>
      </c>
      <c r="D91" s="7">
        <v>0.0</v>
      </c>
      <c r="E91" s="7" t="s">
        <v>12</v>
      </c>
      <c r="F91" s="7" t="s">
        <v>10</v>
      </c>
      <c r="G91" s="7">
        <v>11073.176</v>
      </c>
      <c r="H91" s="3"/>
    </row>
    <row r="92" ht="14.25" customHeight="1">
      <c r="A92" s="7">
        <v>46.0</v>
      </c>
      <c r="B92" s="7" t="s">
        <v>8</v>
      </c>
      <c r="C92" s="7">
        <v>27.74</v>
      </c>
      <c r="D92" s="7">
        <v>0.0</v>
      </c>
      <c r="E92" s="7" t="s">
        <v>12</v>
      </c>
      <c r="F92" s="7" t="s">
        <v>14</v>
      </c>
      <c r="G92" s="7">
        <v>8026.6666</v>
      </c>
      <c r="H92" s="3"/>
    </row>
    <row r="93" ht="14.25" customHeight="1">
      <c r="A93" s="7">
        <v>55.0</v>
      </c>
      <c r="B93" s="7" t="s">
        <v>8</v>
      </c>
      <c r="C93" s="7">
        <v>26.98</v>
      </c>
      <c r="D93" s="7">
        <v>0.0</v>
      </c>
      <c r="E93" s="7" t="s">
        <v>12</v>
      </c>
      <c r="F93" s="7" t="s">
        <v>14</v>
      </c>
      <c r="G93" s="7">
        <v>11082.5772</v>
      </c>
      <c r="H93" s="3"/>
    </row>
    <row r="94" ht="14.25" customHeight="1">
      <c r="A94" s="7">
        <v>21.0</v>
      </c>
      <c r="B94" s="7" t="s">
        <v>8</v>
      </c>
      <c r="C94" s="7">
        <v>39.49</v>
      </c>
      <c r="D94" s="7">
        <v>0.0</v>
      </c>
      <c r="E94" s="7" t="s">
        <v>12</v>
      </c>
      <c r="F94" s="7" t="s">
        <v>13</v>
      </c>
      <c r="G94" s="7">
        <v>2026.9741</v>
      </c>
      <c r="H94" s="3"/>
    </row>
    <row r="95" ht="14.25" customHeight="1">
      <c r="A95" s="7">
        <v>53.0</v>
      </c>
      <c r="B95" s="7" t="s">
        <v>8</v>
      </c>
      <c r="C95" s="7">
        <v>24.795</v>
      </c>
      <c r="D95" s="7">
        <v>1.0</v>
      </c>
      <c r="E95" s="7" t="s">
        <v>12</v>
      </c>
      <c r="F95" s="7" t="s">
        <v>14</v>
      </c>
      <c r="G95" s="7">
        <v>10942.13205</v>
      </c>
      <c r="H95" s="3"/>
    </row>
    <row r="96" ht="14.25" customHeight="1">
      <c r="A96" s="7">
        <v>59.0</v>
      </c>
      <c r="B96" s="7" t="s">
        <v>11</v>
      </c>
      <c r="C96" s="7">
        <v>29.83</v>
      </c>
      <c r="D96" s="7">
        <v>3.0</v>
      </c>
      <c r="E96" s="7" t="s">
        <v>9</v>
      </c>
      <c r="F96" s="7" t="s">
        <v>15</v>
      </c>
      <c r="G96" s="7">
        <v>30184.9367</v>
      </c>
      <c r="H96" s="3"/>
    </row>
    <row r="97" ht="14.25" customHeight="1">
      <c r="A97" s="7">
        <v>35.0</v>
      </c>
      <c r="B97" s="7" t="s">
        <v>11</v>
      </c>
      <c r="C97" s="7">
        <v>34.77</v>
      </c>
      <c r="D97" s="7">
        <v>2.0</v>
      </c>
      <c r="E97" s="7" t="s">
        <v>12</v>
      </c>
      <c r="F97" s="7" t="s">
        <v>14</v>
      </c>
      <c r="G97" s="7">
        <v>5729.0053</v>
      </c>
      <c r="H97" s="3"/>
    </row>
    <row r="98" ht="14.25" customHeight="1">
      <c r="A98" s="7">
        <v>64.0</v>
      </c>
      <c r="B98" s="7" t="s">
        <v>8</v>
      </c>
      <c r="C98" s="7">
        <v>31.3</v>
      </c>
      <c r="D98" s="7">
        <v>2.0</v>
      </c>
      <c r="E98" s="7" t="s">
        <v>9</v>
      </c>
      <c r="F98" s="7" t="s">
        <v>10</v>
      </c>
      <c r="G98" s="7">
        <v>47291.055</v>
      </c>
      <c r="H98" s="3"/>
    </row>
    <row r="99" ht="14.25" customHeight="1">
      <c r="A99" s="7">
        <v>28.0</v>
      </c>
      <c r="B99" s="7" t="s">
        <v>8</v>
      </c>
      <c r="C99" s="7">
        <v>37.62</v>
      </c>
      <c r="D99" s="7">
        <v>1.0</v>
      </c>
      <c r="E99" s="7" t="s">
        <v>12</v>
      </c>
      <c r="F99" s="7" t="s">
        <v>13</v>
      </c>
      <c r="G99" s="7">
        <v>3766.8838</v>
      </c>
      <c r="H99" s="3"/>
    </row>
    <row r="100" ht="14.25" customHeight="1">
      <c r="A100" s="7">
        <v>54.0</v>
      </c>
      <c r="B100" s="7" t="s">
        <v>8</v>
      </c>
      <c r="C100" s="7">
        <v>30.8</v>
      </c>
      <c r="D100" s="7">
        <v>3.0</v>
      </c>
      <c r="E100" s="7" t="s">
        <v>12</v>
      </c>
      <c r="F100" s="7" t="s">
        <v>10</v>
      </c>
      <c r="G100" s="7">
        <v>12105.32</v>
      </c>
      <c r="H100" s="3"/>
    </row>
    <row r="101" ht="14.25" customHeight="1">
      <c r="A101" s="7">
        <v>55.0</v>
      </c>
      <c r="B101" s="7" t="s">
        <v>11</v>
      </c>
      <c r="C101" s="7">
        <v>38.28</v>
      </c>
      <c r="D101" s="7">
        <v>0.0</v>
      </c>
      <c r="E101" s="7" t="s">
        <v>12</v>
      </c>
      <c r="F101" s="7" t="s">
        <v>13</v>
      </c>
      <c r="G101" s="7">
        <v>10226.2842</v>
      </c>
      <c r="H101" s="3"/>
    </row>
    <row r="102" ht="14.25" customHeight="1">
      <c r="A102" s="7">
        <v>56.0</v>
      </c>
      <c r="B102" s="7" t="s">
        <v>11</v>
      </c>
      <c r="C102" s="7">
        <v>19.95</v>
      </c>
      <c r="D102" s="7">
        <v>0.0</v>
      </c>
      <c r="E102" s="7" t="s">
        <v>9</v>
      </c>
      <c r="F102" s="7" t="s">
        <v>15</v>
      </c>
      <c r="G102" s="7">
        <v>22412.6485</v>
      </c>
      <c r="H102" s="3"/>
    </row>
    <row r="103" ht="14.25" customHeight="1">
      <c r="A103" s="7">
        <v>38.0</v>
      </c>
      <c r="B103" s="7" t="s">
        <v>11</v>
      </c>
      <c r="C103" s="7">
        <v>19.3</v>
      </c>
      <c r="D103" s="7">
        <v>0.0</v>
      </c>
      <c r="E103" s="7" t="s">
        <v>9</v>
      </c>
      <c r="F103" s="7" t="s">
        <v>10</v>
      </c>
      <c r="G103" s="7">
        <v>15820.699</v>
      </c>
      <c r="H103" s="3"/>
    </row>
    <row r="104" ht="14.25" customHeight="1">
      <c r="A104" s="7">
        <v>41.0</v>
      </c>
      <c r="B104" s="7" t="s">
        <v>8</v>
      </c>
      <c r="C104" s="7">
        <v>31.6</v>
      </c>
      <c r="D104" s="7">
        <v>0.0</v>
      </c>
      <c r="E104" s="7" t="s">
        <v>12</v>
      </c>
      <c r="F104" s="7" t="s">
        <v>10</v>
      </c>
      <c r="G104" s="7">
        <v>6186.127</v>
      </c>
      <c r="H104" s="3"/>
    </row>
    <row r="105" ht="14.25" customHeight="1">
      <c r="A105" s="7">
        <v>30.0</v>
      </c>
      <c r="B105" s="7" t="s">
        <v>11</v>
      </c>
      <c r="C105" s="7">
        <v>25.46</v>
      </c>
      <c r="D105" s="7">
        <v>0.0</v>
      </c>
      <c r="E105" s="7" t="s">
        <v>12</v>
      </c>
      <c r="F105" s="7" t="s">
        <v>15</v>
      </c>
      <c r="G105" s="7">
        <v>3645.0894</v>
      </c>
      <c r="H105" s="3"/>
    </row>
    <row r="106" ht="14.25" customHeight="1">
      <c r="A106" s="7">
        <v>18.0</v>
      </c>
      <c r="B106" s="7" t="s">
        <v>8</v>
      </c>
      <c r="C106" s="7">
        <v>30.115</v>
      </c>
      <c r="D106" s="7">
        <v>0.0</v>
      </c>
      <c r="E106" s="7" t="s">
        <v>12</v>
      </c>
      <c r="F106" s="7" t="s">
        <v>15</v>
      </c>
      <c r="G106" s="7">
        <v>21344.8467</v>
      </c>
      <c r="H106" s="3"/>
    </row>
    <row r="107" ht="14.25" customHeight="1">
      <c r="A107" s="7">
        <v>61.0</v>
      </c>
      <c r="B107" s="7" t="s">
        <v>8</v>
      </c>
      <c r="C107" s="7">
        <v>29.92</v>
      </c>
      <c r="D107" s="7">
        <v>3.0</v>
      </c>
      <c r="E107" s="7" t="s">
        <v>9</v>
      </c>
      <c r="F107" s="7" t="s">
        <v>13</v>
      </c>
      <c r="G107" s="7">
        <v>30942.1918</v>
      </c>
      <c r="H107" s="3"/>
    </row>
    <row r="108" ht="14.25" customHeight="1">
      <c r="A108" s="7">
        <v>34.0</v>
      </c>
      <c r="B108" s="7" t="s">
        <v>8</v>
      </c>
      <c r="C108" s="7">
        <v>27.5</v>
      </c>
      <c r="D108" s="7">
        <v>1.0</v>
      </c>
      <c r="E108" s="7" t="s">
        <v>12</v>
      </c>
      <c r="F108" s="7" t="s">
        <v>10</v>
      </c>
      <c r="G108" s="7">
        <v>5003.853</v>
      </c>
      <c r="H108" s="3"/>
    </row>
    <row r="109" ht="14.25" customHeight="1">
      <c r="A109" s="7">
        <v>20.0</v>
      </c>
      <c r="B109" s="7" t="s">
        <v>11</v>
      </c>
      <c r="C109" s="7">
        <v>28.025</v>
      </c>
      <c r="D109" s="7">
        <v>1.0</v>
      </c>
      <c r="E109" s="7" t="s">
        <v>9</v>
      </c>
      <c r="F109" s="7" t="s">
        <v>14</v>
      </c>
      <c r="G109" s="7">
        <v>17560.37975</v>
      </c>
      <c r="H109" s="3"/>
    </row>
    <row r="110" ht="14.25" customHeight="1">
      <c r="A110" s="7">
        <v>19.0</v>
      </c>
      <c r="B110" s="7" t="s">
        <v>8</v>
      </c>
      <c r="C110" s="7">
        <v>28.4</v>
      </c>
      <c r="D110" s="7">
        <v>1.0</v>
      </c>
      <c r="E110" s="7" t="s">
        <v>12</v>
      </c>
      <c r="F110" s="7" t="s">
        <v>10</v>
      </c>
      <c r="G110" s="7">
        <v>2331.519</v>
      </c>
      <c r="H110" s="3"/>
    </row>
    <row r="111" ht="14.25" customHeight="1">
      <c r="A111" s="7">
        <v>26.0</v>
      </c>
      <c r="B111" s="7" t="s">
        <v>11</v>
      </c>
      <c r="C111" s="7">
        <v>30.875</v>
      </c>
      <c r="D111" s="7">
        <v>2.0</v>
      </c>
      <c r="E111" s="7" t="s">
        <v>12</v>
      </c>
      <c r="F111" s="7" t="s">
        <v>14</v>
      </c>
      <c r="G111" s="7">
        <v>3877.30425</v>
      </c>
      <c r="H111" s="3"/>
    </row>
    <row r="112" ht="14.25" customHeight="1">
      <c r="A112" s="7">
        <v>29.0</v>
      </c>
      <c r="B112" s="7" t="s">
        <v>11</v>
      </c>
      <c r="C112" s="7">
        <v>27.94</v>
      </c>
      <c r="D112" s="7">
        <v>0.0</v>
      </c>
      <c r="E112" s="7" t="s">
        <v>12</v>
      </c>
      <c r="F112" s="7" t="s">
        <v>13</v>
      </c>
      <c r="G112" s="7">
        <v>2867.1196</v>
      </c>
      <c r="H112" s="3"/>
    </row>
    <row r="113" ht="14.25" customHeight="1">
      <c r="A113" s="7">
        <v>63.0</v>
      </c>
      <c r="B113" s="7" t="s">
        <v>11</v>
      </c>
      <c r="C113" s="7">
        <v>35.09</v>
      </c>
      <c r="D113" s="7">
        <v>0.0</v>
      </c>
      <c r="E113" s="7" t="s">
        <v>9</v>
      </c>
      <c r="F113" s="7" t="s">
        <v>13</v>
      </c>
      <c r="G113" s="7">
        <v>47055.5321</v>
      </c>
      <c r="H113" s="3"/>
    </row>
    <row r="114" ht="14.25" customHeight="1">
      <c r="A114" s="7">
        <v>54.0</v>
      </c>
      <c r="B114" s="7" t="s">
        <v>11</v>
      </c>
      <c r="C114" s="7">
        <v>33.63</v>
      </c>
      <c r="D114" s="7">
        <v>1.0</v>
      </c>
      <c r="E114" s="7" t="s">
        <v>12</v>
      </c>
      <c r="F114" s="7" t="s">
        <v>14</v>
      </c>
      <c r="G114" s="7">
        <v>10825.2537</v>
      </c>
      <c r="H114" s="3"/>
    </row>
    <row r="115" ht="14.25" customHeight="1">
      <c r="A115" s="7">
        <v>55.0</v>
      </c>
      <c r="B115" s="7" t="s">
        <v>8</v>
      </c>
      <c r="C115" s="7">
        <v>29.7</v>
      </c>
      <c r="D115" s="7">
        <v>2.0</v>
      </c>
      <c r="E115" s="7" t="s">
        <v>12</v>
      </c>
      <c r="F115" s="7" t="s">
        <v>10</v>
      </c>
      <c r="G115" s="7">
        <v>11881.358</v>
      </c>
      <c r="H115" s="3"/>
    </row>
    <row r="116" ht="14.25" customHeight="1">
      <c r="A116" s="7">
        <v>37.0</v>
      </c>
      <c r="B116" s="7" t="s">
        <v>11</v>
      </c>
      <c r="C116" s="7">
        <v>30.8</v>
      </c>
      <c r="D116" s="7">
        <v>0.0</v>
      </c>
      <c r="E116" s="7" t="s">
        <v>12</v>
      </c>
      <c r="F116" s="7" t="s">
        <v>10</v>
      </c>
      <c r="G116" s="7">
        <v>4646.759</v>
      </c>
      <c r="H116" s="3"/>
    </row>
    <row r="117" ht="14.25" customHeight="1">
      <c r="A117" s="7">
        <v>21.0</v>
      </c>
      <c r="B117" s="7" t="s">
        <v>8</v>
      </c>
      <c r="C117" s="7">
        <v>35.72</v>
      </c>
      <c r="D117" s="7">
        <v>0.0</v>
      </c>
      <c r="E117" s="7" t="s">
        <v>12</v>
      </c>
      <c r="F117" s="7" t="s">
        <v>14</v>
      </c>
      <c r="G117" s="7">
        <v>2404.7338</v>
      </c>
      <c r="H117" s="3"/>
    </row>
    <row r="118" ht="14.25" customHeight="1">
      <c r="A118" s="7">
        <v>52.0</v>
      </c>
      <c r="B118" s="7" t="s">
        <v>11</v>
      </c>
      <c r="C118" s="7">
        <v>32.205</v>
      </c>
      <c r="D118" s="7">
        <v>3.0</v>
      </c>
      <c r="E118" s="7" t="s">
        <v>12</v>
      </c>
      <c r="F118" s="7" t="s">
        <v>15</v>
      </c>
      <c r="G118" s="7">
        <v>11488.31695</v>
      </c>
      <c r="H118" s="3"/>
    </row>
    <row r="119" ht="14.25" customHeight="1">
      <c r="A119" s="7">
        <v>60.0</v>
      </c>
      <c r="B119" s="7" t="s">
        <v>11</v>
      </c>
      <c r="C119" s="7">
        <v>28.595</v>
      </c>
      <c r="D119" s="7">
        <v>0.0</v>
      </c>
      <c r="E119" s="7" t="s">
        <v>12</v>
      </c>
      <c r="F119" s="7" t="s">
        <v>15</v>
      </c>
      <c r="G119" s="7">
        <v>30259.99556</v>
      </c>
      <c r="H119" s="3"/>
    </row>
    <row r="120" ht="14.25" customHeight="1">
      <c r="A120" s="7">
        <v>58.0</v>
      </c>
      <c r="B120" s="7" t="s">
        <v>11</v>
      </c>
      <c r="C120" s="7">
        <v>49.06</v>
      </c>
      <c r="D120" s="7">
        <v>0.0</v>
      </c>
      <c r="E120" s="7" t="s">
        <v>12</v>
      </c>
      <c r="F120" s="7" t="s">
        <v>13</v>
      </c>
      <c r="G120" s="7">
        <v>11381.3254</v>
      </c>
      <c r="H120" s="3"/>
    </row>
    <row r="121" ht="14.25" customHeight="1">
      <c r="A121" s="7">
        <v>29.0</v>
      </c>
      <c r="B121" s="7" t="s">
        <v>8</v>
      </c>
      <c r="C121" s="7">
        <v>27.94</v>
      </c>
      <c r="D121" s="7">
        <v>1.0</v>
      </c>
      <c r="E121" s="7" t="s">
        <v>9</v>
      </c>
      <c r="F121" s="7" t="s">
        <v>13</v>
      </c>
      <c r="G121" s="7">
        <v>19107.7796</v>
      </c>
      <c r="H121" s="3"/>
    </row>
    <row r="122" ht="14.25" customHeight="1">
      <c r="A122" s="7">
        <v>49.0</v>
      </c>
      <c r="B122" s="7" t="s">
        <v>8</v>
      </c>
      <c r="C122" s="7">
        <v>27.17</v>
      </c>
      <c r="D122" s="7">
        <v>0.0</v>
      </c>
      <c r="E122" s="7" t="s">
        <v>12</v>
      </c>
      <c r="F122" s="7" t="s">
        <v>13</v>
      </c>
      <c r="G122" s="7">
        <v>8601.3293</v>
      </c>
      <c r="H122" s="3"/>
    </row>
    <row r="123" ht="14.25" customHeight="1">
      <c r="A123" s="7">
        <v>37.0</v>
      </c>
      <c r="B123" s="7" t="s">
        <v>8</v>
      </c>
      <c r="C123" s="7">
        <v>23.37</v>
      </c>
      <c r="D123" s="7">
        <v>2.0</v>
      </c>
      <c r="E123" s="7" t="s">
        <v>12</v>
      </c>
      <c r="F123" s="7" t="s">
        <v>14</v>
      </c>
      <c r="G123" s="7">
        <v>6686.4313</v>
      </c>
      <c r="H123" s="3"/>
    </row>
    <row r="124" ht="14.25" customHeight="1">
      <c r="A124" s="7">
        <v>44.0</v>
      </c>
      <c r="B124" s="7" t="s">
        <v>11</v>
      </c>
      <c r="C124" s="7">
        <v>37.1</v>
      </c>
      <c r="D124" s="7">
        <v>2.0</v>
      </c>
      <c r="E124" s="7" t="s">
        <v>12</v>
      </c>
      <c r="F124" s="7" t="s">
        <v>10</v>
      </c>
      <c r="G124" s="7">
        <v>7740.337</v>
      </c>
      <c r="H124" s="3"/>
    </row>
    <row r="125" ht="14.25" customHeight="1">
      <c r="A125" s="7">
        <v>18.0</v>
      </c>
      <c r="B125" s="7" t="s">
        <v>11</v>
      </c>
      <c r="C125" s="7">
        <v>23.75</v>
      </c>
      <c r="D125" s="7">
        <v>0.0</v>
      </c>
      <c r="E125" s="7" t="s">
        <v>12</v>
      </c>
      <c r="F125" s="7" t="s">
        <v>15</v>
      </c>
      <c r="G125" s="7">
        <v>1705.6245</v>
      </c>
      <c r="H125" s="3"/>
    </row>
    <row r="126" ht="14.25" customHeight="1">
      <c r="A126" s="7">
        <v>20.0</v>
      </c>
      <c r="B126" s="7" t="s">
        <v>8</v>
      </c>
      <c r="C126" s="7">
        <v>28.975</v>
      </c>
      <c r="D126" s="7">
        <v>0.0</v>
      </c>
      <c r="E126" s="7" t="s">
        <v>12</v>
      </c>
      <c r="F126" s="7" t="s">
        <v>14</v>
      </c>
      <c r="G126" s="7">
        <v>2257.47525</v>
      </c>
      <c r="H126" s="3"/>
    </row>
    <row r="127" ht="14.25" customHeight="1">
      <c r="A127" s="7">
        <v>44.0</v>
      </c>
      <c r="B127" s="7" t="s">
        <v>11</v>
      </c>
      <c r="C127" s="7">
        <v>31.35</v>
      </c>
      <c r="D127" s="7">
        <v>1.0</v>
      </c>
      <c r="E127" s="7" t="s">
        <v>9</v>
      </c>
      <c r="F127" s="7" t="s">
        <v>15</v>
      </c>
      <c r="G127" s="7">
        <v>39556.4945</v>
      </c>
      <c r="H127" s="3"/>
    </row>
    <row r="128" ht="14.25" customHeight="1">
      <c r="A128" s="7">
        <v>47.0</v>
      </c>
      <c r="B128" s="7" t="s">
        <v>8</v>
      </c>
      <c r="C128" s="7">
        <v>33.915</v>
      </c>
      <c r="D128" s="7">
        <v>3.0</v>
      </c>
      <c r="E128" s="7" t="s">
        <v>12</v>
      </c>
      <c r="F128" s="7" t="s">
        <v>14</v>
      </c>
      <c r="G128" s="7">
        <v>10115.00885</v>
      </c>
      <c r="H128" s="3"/>
    </row>
    <row r="129" ht="14.25" customHeight="1">
      <c r="A129" s="7">
        <v>26.0</v>
      </c>
      <c r="B129" s="7" t="s">
        <v>8</v>
      </c>
      <c r="C129" s="7">
        <v>28.785</v>
      </c>
      <c r="D129" s="7">
        <v>0.0</v>
      </c>
      <c r="E129" s="7" t="s">
        <v>12</v>
      </c>
      <c r="F129" s="7" t="s">
        <v>15</v>
      </c>
      <c r="G129" s="7">
        <v>3385.39915</v>
      </c>
      <c r="H129" s="3"/>
    </row>
    <row r="130" ht="14.25" customHeight="1">
      <c r="A130" s="7">
        <v>19.0</v>
      </c>
      <c r="B130" s="7" t="s">
        <v>8</v>
      </c>
      <c r="C130" s="7">
        <v>28.3</v>
      </c>
      <c r="D130" s="7">
        <v>0.0</v>
      </c>
      <c r="E130" s="7" t="s">
        <v>9</v>
      </c>
      <c r="F130" s="7" t="s">
        <v>10</v>
      </c>
      <c r="G130" s="7">
        <v>17081.08</v>
      </c>
      <c r="H130" s="3"/>
    </row>
    <row r="131" ht="14.25" customHeight="1">
      <c r="A131" s="7">
        <v>52.0</v>
      </c>
      <c r="B131" s="7" t="s">
        <v>8</v>
      </c>
      <c r="C131" s="7">
        <v>37.4</v>
      </c>
      <c r="D131" s="7">
        <v>0.0</v>
      </c>
      <c r="E131" s="7" t="s">
        <v>12</v>
      </c>
      <c r="F131" s="7" t="s">
        <v>10</v>
      </c>
      <c r="G131" s="7">
        <v>9634.538</v>
      </c>
      <c r="H131" s="3"/>
    </row>
    <row r="132" ht="14.25" customHeight="1">
      <c r="A132" s="7">
        <v>32.0</v>
      </c>
      <c r="B132" s="7" t="s">
        <v>8</v>
      </c>
      <c r="C132" s="7">
        <v>17.765</v>
      </c>
      <c r="D132" s="7">
        <v>2.0</v>
      </c>
      <c r="E132" s="7" t="s">
        <v>9</v>
      </c>
      <c r="F132" s="7" t="s">
        <v>14</v>
      </c>
      <c r="G132" s="7">
        <v>32734.1863</v>
      </c>
      <c r="H132" s="3"/>
    </row>
    <row r="133" ht="14.25" customHeight="1">
      <c r="A133" s="7">
        <v>38.0</v>
      </c>
      <c r="B133" s="7" t="s">
        <v>11</v>
      </c>
      <c r="C133" s="7">
        <v>34.7</v>
      </c>
      <c r="D133" s="7">
        <v>2.0</v>
      </c>
      <c r="E133" s="7" t="s">
        <v>12</v>
      </c>
      <c r="F133" s="7" t="s">
        <v>10</v>
      </c>
      <c r="G133" s="7">
        <v>6082.405</v>
      </c>
      <c r="H133" s="3"/>
    </row>
    <row r="134" ht="14.25" customHeight="1">
      <c r="A134" s="7">
        <v>59.0</v>
      </c>
      <c r="B134" s="7" t="s">
        <v>8</v>
      </c>
      <c r="C134" s="7">
        <v>26.505</v>
      </c>
      <c r="D134" s="7">
        <v>0.0</v>
      </c>
      <c r="E134" s="7" t="s">
        <v>12</v>
      </c>
      <c r="F134" s="7" t="s">
        <v>15</v>
      </c>
      <c r="G134" s="7">
        <v>12815.44495</v>
      </c>
      <c r="H134" s="3"/>
    </row>
    <row r="135" ht="14.25" customHeight="1">
      <c r="A135" s="7">
        <v>61.0</v>
      </c>
      <c r="B135" s="7" t="s">
        <v>8</v>
      </c>
      <c r="C135" s="7">
        <v>22.04</v>
      </c>
      <c r="D135" s="7">
        <v>0.0</v>
      </c>
      <c r="E135" s="7" t="s">
        <v>12</v>
      </c>
      <c r="F135" s="7" t="s">
        <v>15</v>
      </c>
      <c r="G135" s="7">
        <v>13616.3586</v>
      </c>
      <c r="H135" s="3"/>
    </row>
    <row r="136" ht="14.25" customHeight="1">
      <c r="A136" s="7">
        <v>53.0</v>
      </c>
      <c r="B136" s="7" t="s">
        <v>8</v>
      </c>
      <c r="C136" s="7">
        <v>35.9</v>
      </c>
      <c r="D136" s="7">
        <v>2.0</v>
      </c>
      <c r="E136" s="7" t="s">
        <v>12</v>
      </c>
      <c r="F136" s="7" t="s">
        <v>10</v>
      </c>
      <c r="G136" s="7">
        <v>11163.568</v>
      </c>
      <c r="H136" s="3"/>
    </row>
    <row r="137" ht="14.25" customHeight="1">
      <c r="A137" s="7">
        <v>19.0</v>
      </c>
      <c r="B137" s="7" t="s">
        <v>11</v>
      </c>
      <c r="C137" s="7">
        <v>25.555</v>
      </c>
      <c r="D137" s="7">
        <v>0.0</v>
      </c>
      <c r="E137" s="7" t="s">
        <v>12</v>
      </c>
      <c r="F137" s="7" t="s">
        <v>14</v>
      </c>
      <c r="G137" s="7">
        <v>1632.56445</v>
      </c>
      <c r="H137" s="3"/>
    </row>
    <row r="138" ht="14.25" customHeight="1">
      <c r="A138" s="7">
        <v>20.0</v>
      </c>
      <c r="B138" s="7" t="s">
        <v>8</v>
      </c>
      <c r="C138" s="7">
        <v>28.785</v>
      </c>
      <c r="D138" s="7">
        <v>0.0</v>
      </c>
      <c r="E138" s="7" t="s">
        <v>12</v>
      </c>
      <c r="F138" s="7" t="s">
        <v>15</v>
      </c>
      <c r="G138" s="7">
        <v>2457.21115</v>
      </c>
      <c r="H138" s="3"/>
    </row>
    <row r="139" ht="14.25" customHeight="1">
      <c r="A139" s="7">
        <v>22.0</v>
      </c>
      <c r="B139" s="7" t="s">
        <v>8</v>
      </c>
      <c r="C139" s="7">
        <v>28.05</v>
      </c>
      <c r="D139" s="7">
        <v>0.0</v>
      </c>
      <c r="E139" s="7" t="s">
        <v>12</v>
      </c>
      <c r="F139" s="7" t="s">
        <v>13</v>
      </c>
      <c r="G139" s="7">
        <v>2155.6815</v>
      </c>
      <c r="H139" s="3"/>
    </row>
    <row r="140" ht="14.25" customHeight="1">
      <c r="A140" s="7">
        <v>19.0</v>
      </c>
      <c r="B140" s="7" t="s">
        <v>11</v>
      </c>
      <c r="C140" s="7">
        <v>34.1</v>
      </c>
      <c r="D140" s="7">
        <v>0.0</v>
      </c>
      <c r="E140" s="7" t="s">
        <v>12</v>
      </c>
      <c r="F140" s="7" t="s">
        <v>10</v>
      </c>
      <c r="G140" s="7">
        <v>1261.442</v>
      </c>
      <c r="H140" s="3"/>
    </row>
    <row r="141" ht="14.25" customHeight="1">
      <c r="A141" s="7">
        <v>22.0</v>
      </c>
      <c r="B141" s="7" t="s">
        <v>11</v>
      </c>
      <c r="C141" s="7">
        <v>25.175</v>
      </c>
      <c r="D141" s="7">
        <v>0.0</v>
      </c>
      <c r="E141" s="7" t="s">
        <v>12</v>
      </c>
      <c r="F141" s="7" t="s">
        <v>14</v>
      </c>
      <c r="G141" s="7">
        <v>2045.68525</v>
      </c>
      <c r="H141" s="3"/>
    </row>
    <row r="142" ht="14.25" customHeight="1">
      <c r="A142" s="7">
        <v>54.0</v>
      </c>
      <c r="B142" s="7" t="s">
        <v>8</v>
      </c>
      <c r="C142" s="7">
        <v>31.9</v>
      </c>
      <c r="D142" s="7">
        <v>3.0</v>
      </c>
      <c r="E142" s="7" t="s">
        <v>12</v>
      </c>
      <c r="F142" s="7" t="s">
        <v>13</v>
      </c>
      <c r="G142" s="7">
        <v>27322.73386</v>
      </c>
      <c r="H142" s="3"/>
    </row>
    <row r="143" ht="14.25" customHeight="1">
      <c r="A143" s="7">
        <v>22.0</v>
      </c>
      <c r="B143" s="7" t="s">
        <v>8</v>
      </c>
      <c r="C143" s="7">
        <v>36.0</v>
      </c>
      <c r="D143" s="7">
        <v>0.0</v>
      </c>
      <c r="E143" s="7" t="s">
        <v>12</v>
      </c>
      <c r="F143" s="7" t="s">
        <v>10</v>
      </c>
      <c r="G143" s="7">
        <v>2166.732</v>
      </c>
      <c r="H143" s="3"/>
    </row>
    <row r="144" ht="14.25" customHeight="1">
      <c r="A144" s="7">
        <v>34.0</v>
      </c>
      <c r="B144" s="7" t="s">
        <v>11</v>
      </c>
      <c r="C144" s="7">
        <v>22.42</v>
      </c>
      <c r="D144" s="7">
        <v>2.0</v>
      </c>
      <c r="E144" s="7" t="s">
        <v>12</v>
      </c>
      <c r="F144" s="7" t="s">
        <v>15</v>
      </c>
      <c r="G144" s="7">
        <v>27375.90478</v>
      </c>
      <c r="H144" s="3"/>
    </row>
    <row r="145" ht="14.25" customHeight="1">
      <c r="A145" s="7">
        <v>26.0</v>
      </c>
      <c r="B145" s="7" t="s">
        <v>11</v>
      </c>
      <c r="C145" s="7">
        <v>32.49</v>
      </c>
      <c r="D145" s="7">
        <v>1.0</v>
      </c>
      <c r="E145" s="7" t="s">
        <v>12</v>
      </c>
      <c r="F145" s="7" t="s">
        <v>15</v>
      </c>
      <c r="G145" s="7">
        <v>3490.5491</v>
      </c>
      <c r="H145" s="3"/>
    </row>
    <row r="146" ht="14.25" customHeight="1">
      <c r="A146" s="7">
        <v>34.0</v>
      </c>
      <c r="B146" s="7" t="s">
        <v>11</v>
      </c>
      <c r="C146" s="7">
        <v>25.3</v>
      </c>
      <c r="D146" s="7">
        <v>2.0</v>
      </c>
      <c r="E146" s="7" t="s">
        <v>9</v>
      </c>
      <c r="F146" s="7" t="s">
        <v>13</v>
      </c>
      <c r="G146" s="7">
        <v>18972.495</v>
      </c>
      <c r="H146" s="3"/>
    </row>
    <row r="147" ht="14.25" customHeight="1">
      <c r="A147" s="7">
        <v>29.0</v>
      </c>
      <c r="B147" s="7" t="s">
        <v>11</v>
      </c>
      <c r="C147" s="7">
        <v>29.735</v>
      </c>
      <c r="D147" s="7">
        <v>2.0</v>
      </c>
      <c r="E147" s="7" t="s">
        <v>12</v>
      </c>
      <c r="F147" s="7" t="s">
        <v>14</v>
      </c>
      <c r="G147" s="7">
        <v>18157.876</v>
      </c>
      <c r="H147" s="3"/>
    </row>
    <row r="148" ht="14.25" customHeight="1">
      <c r="A148" s="7">
        <v>30.0</v>
      </c>
      <c r="B148" s="7" t="s">
        <v>11</v>
      </c>
      <c r="C148" s="7">
        <v>28.69</v>
      </c>
      <c r="D148" s="7">
        <v>3.0</v>
      </c>
      <c r="E148" s="7" t="s">
        <v>9</v>
      </c>
      <c r="F148" s="7" t="s">
        <v>14</v>
      </c>
      <c r="G148" s="7">
        <v>20745.9891</v>
      </c>
      <c r="H148" s="3"/>
    </row>
    <row r="149" ht="14.25" customHeight="1">
      <c r="A149" s="7">
        <v>29.0</v>
      </c>
      <c r="B149" s="7" t="s">
        <v>8</v>
      </c>
      <c r="C149" s="7">
        <v>38.83</v>
      </c>
      <c r="D149" s="7">
        <v>3.0</v>
      </c>
      <c r="E149" s="7" t="s">
        <v>12</v>
      </c>
      <c r="F149" s="7" t="s">
        <v>13</v>
      </c>
      <c r="G149" s="7">
        <v>5138.2567</v>
      </c>
      <c r="H149" s="3"/>
    </row>
    <row r="150" ht="14.25" customHeight="1">
      <c r="A150" s="7">
        <v>46.0</v>
      </c>
      <c r="B150" s="7" t="s">
        <v>11</v>
      </c>
      <c r="C150" s="7">
        <v>30.495</v>
      </c>
      <c r="D150" s="7">
        <v>3.0</v>
      </c>
      <c r="E150" s="7" t="s">
        <v>9</v>
      </c>
      <c r="F150" s="7" t="s">
        <v>14</v>
      </c>
      <c r="G150" s="7">
        <v>40720.55105</v>
      </c>
      <c r="H150" s="3"/>
    </row>
    <row r="151" ht="14.25" customHeight="1">
      <c r="A151" s="7">
        <v>51.0</v>
      </c>
      <c r="B151" s="7" t="s">
        <v>8</v>
      </c>
      <c r="C151" s="7">
        <v>37.73</v>
      </c>
      <c r="D151" s="7">
        <v>1.0</v>
      </c>
      <c r="E151" s="7" t="s">
        <v>12</v>
      </c>
      <c r="F151" s="7" t="s">
        <v>13</v>
      </c>
      <c r="G151" s="7">
        <v>9877.6077</v>
      </c>
      <c r="H151" s="3"/>
    </row>
    <row r="152" ht="14.25" customHeight="1">
      <c r="A152" s="7">
        <v>53.0</v>
      </c>
      <c r="B152" s="7" t="s">
        <v>8</v>
      </c>
      <c r="C152" s="7">
        <v>37.43</v>
      </c>
      <c r="D152" s="7">
        <v>1.0</v>
      </c>
      <c r="E152" s="7" t="s">
        <v>12</v>
      </c>
      <c r="F152" s="7" t="s">
        <v>14</v>
      </c>
      <c r="G152" s="7">
        <v>10959.6947</v>
      </c>
      <c r="H152" s="3"/>
    </row>
    <row r="153" ht="14.25" customHeight="1">
      <c r="A153" s="7">
        <v>19.0</v>
      </c>
      <c r="B153" s="7" t="s">
        <v>11</v>
      </c>
      <c r="C153" s="7">
        <v>28.4</v>
      </c>
      <c r="D153" s="7">
        <v>1.0</v>
      </c>
      <c r="E153" s="7" t="s">
        <v>12</v>
      </c>
      <c r="F153" s="7" t="s">
        <v>10</v>
      </c>
      <c r="G153" s="7">
        <v>1842.519</v>
      </c>
      <c r="H153" s="3"/>
    </row>
    <row r="154" ht="14.25" customHeight="1">
      <c r="A154" s="7">
        <v>35.0</v>
      </c>
      <c r="B154" s="7" t="s">
        <v>11</v>
      </c>
      <c r="C154" s="7">
        <v>24.13</v>
      </c>
      <c r="D154" s="7">
        <v>1.0</v>
      </c>
      <c r="E154" s="7" t="s">
        <v>12</v>
      </c>
      <c r="F154" s="7" t="s">
        <v>14</v>
      </c>
      <c r="G154" s="7">
        <v>5125.2157</v>
      </c>
      <c r="H154" s="3"/>
    </row>
    <row r="155" ht="14.25" customHeight="1">
      <c r="A155" s="7">
        <v>48.0</v>
      </c>
      <c r="B155" s="7" t="s">
        <v>11</v>
      </c>
      <c r="C155" s="7">
        <v>29.7</v>
      </c>
      <c r="D155" s="7">
        <v>0.0</v>
      </c>
      <c r="E155" s="7" t="s">
        <v>12</v>
      </c>
      <c r="F155" s="7" t="s">
        <v>13</v>
      </c>
      <c r="G155" s="7">
        <v>7789.635</v>
      </c>
      <c r="H155" s="3"/>
    </row>
    <row r="156" ht="14.25" customHeight="1">
      <c r="A156" s="7">
        <v>32.0</v>
      </c>
      <c r="B156" s="7" t="s">
        <v>8</v>
      </c>
      <c r="C156" s="7">
        <v>37.145</v>
      </c>
      <c r="D156" s="7">
        <v>3.0</v>
      </c>
      <c r="E156" s="7" t="s">
        <v>12</v>
      </c>
      <c r="F156" s="7" t="s">
        <v>15</v>
      </c>
      <c r="G156" s="7">
        <v>6334.34355</v>
      </c>
      <c r="H156" s="3"/>
    </row>
    <row r="157" ht="14.25" customHeight="1">
      <c r="A157" s="7">
        <v>42.0</v>
      </c>
      <c r="B157" s="7" t="s">
        <v>8</v>
      </c>
      <c r="C157" s="7">
        <v>23.37</v>
      </c>
      <c r="D157" s="7">
        <v>0.0</v>
      </c>
      <c r="E157" s="7" t="s">
        <v>9</v>
      </c>
      <c r="F157" s="7" t="s">
        <v>15</v>
      </c>
      <c r="G157" s="7">
        <v>19964.7463</v>
      </c>
      <c r="H157" s="3"/>
    </row>
    <row r="158" ht="14.25" customHeight="1">
      <c r="A158" s="7">
        <v>40.0</v>
      </c>
      <c r="B158" s="7" t="s">
        <v>8</v>
      </c>
      <c r="C158" s="7">
        <v>25.46</v>
      </c>
      <c r="D158" s="7">
        <v>1.0</v>
      </c>
      <c r="E158" s="7" t="s">
        <v>12</v>
      </c>
      <c r="F158" s="7" t="s">
        <v>15</v>
      </c>
      <c r="G158" s="7">
        <v>7077.1894</v>
      </c>
      <c r="H158" s="3"/>
    </row>
    <row r="159" ht="14.25" customHeight="1">
      <c r="A159" s="7">
        <v>44.0</v>
      </c>
      <c r="B159" s="7" t="s">
        <v>11</v>
      </c>
      <c r="C159" s="7">
        <v>39.52</v>
      </c>
      <c r="D159" s="7">
        <v>0.0</v>
      </c>
      <c r="E159" s="7" t="s">
        <v>12</v>
      </c>
      <c r="F159" s="7" t="s">
        <v>14</v>
      </c>
      <c r="G159" s="7">
        <v>6948.7008</v>
      </c>
      <c r="H159" s="3"/>
    </row>
    <row r="160" ht="14.25" customHeight="1">
      <c r="A160" s="7">
        <v>48.0</v>
      </c>
      <c r="B160" s="7" t="s">
        <v>11</v>
      </c>
      <c r="C160" s="7">
        <v>24.42</v>
      </c>
      <c r="D160" s="7">
        <v>0.0</v>
      </c>
      <c r="E160" s="7" t="s">
        <v>9</v>
      </c>
      <c r="F160" s="7" t="s">
        <v>13</v>
      </c>
      <c r="G160" s="7">
        <v>21223.6758</v>
      </c>
      <c r="H160" s="3"/>
    </row>
    <row r="161" ht="14.25" customHeight="1">
      <c r="A161" s="7">
        <v>18.0</v>
      </c>
      <c r="B161" s="7" t="s">
        <v>11</v>
      </c>
      <c r="C161" s="7">
        <v>25.175</v>
      </c>
      <c r="D161" s="7">
        <v>0.0</v>
      </c>
      <c r="E161" s="7" t="s">
        <v>9</v>
      </c>
      <c r="F161" s="7" t="s">
        <v>15</v>
      </c>
      <c r="G161" s="7">
        <v>15518.18025</v>
      </c>
      <c r="H161" s="3"/>
    </row>
    <row r="162" ht="14.25" customHeight="1">
      <c r="A162" s="7">
        <v>30.0</v>
      </c>
      <c r="B162" s="7" t="s">
        <v>11</v>
      </c>
      <c r="C162" s="7">
        <v>35.53</v>
      </c>
      <c r="D162" s="7">
        <v>0.0</v>
      </c>
      <c r="E162" s="7" t="s">
        <v>9</v>
      </c>
      <c r="F162" s="7" t="s">
        <v>13</v>
      </c>
      <c r="G162" s="7">
        <v>36950.2567</v>
      </c>
      <c r="H162" s="3"/>
    </row>
    <row r="163" ht="14.25" customHeight="1">
      <c r="A163" s="7">
        <v>50.0</v>
      </c>
      <c r="B163" s="7" t="s">
        <v>8</v>
      </c>
      <c r="C163" s="7">
        <v>27.83</v>
      </c>
      <c r="D163" s="7">
        <v>3.0</v>
      </c>
      <c r="E163" s="7" t="s">
        <v>12</v>
      </c>
      <c r="F163" s="7" t="s">
        <v>13</v>
      </c>
      <c r="G163" s="7">
        <v>19749.38338</v>
      </c>
      <c r="H163" s="3"/>
    </row>
    <row r="164" ht="14.25" customHeight="1">
      <c r="A164" s="7">
        <v>42.0</v>
      </c>
      <c r="B164" s="7" t="s">
        <v>8</v>
      </c>
      <c r="C164" s="7">
        <v>26.6</v>
      </c>
      <c r="D164" s="7">
        <v>0.0</v>
      </c>
      <c r="E164" s="7" t="s">
        <v>9</v>
      </c>
      <c r="F164" s="7" t="s">
        <v>14</v>
      </c>
      <c r="G164" s="7">
        <v>21348.706</v>
      </c>
      <c r="H164" s="3"/>
    </row>
    <row r="165" ht="14.25" customHeight="1">
      <c r="A165" s="7">
        <v>18.0</v>
      </c>
      <c r="B165" s="7" t="s">
        <v>8</v>
      </c>
      <c r="C165" s="7">
        <v>36.85</v>
      </c>
      <c r="D165" s="7">
        <v>0.0</v>
      </c>
      <c r="E165" s="7" t="s">
        <v>9</v>
      </c>
      <c r="F165" s="7" t="s">
        <v>13</v>
      </c>
      <c r="G165" s="7">
        <v>36149.4835</v>
      </c>
      <c r="H165" s="3"/>
    </row>
    <row r="166" ht="14.25" customHeight="1">
      <c r="A166" s="7">
        <v>54.0</v>
      </c>
      <c r="B166" s="7" t="s">
        <v>11</v>
      </c>
      <c r="C166" s="7">
        <v>39.6</v>
      </c>
      <c r="D166" s="7">
        <v>1.0</v>
      </c>
      <c r="E166" s="7" t="s">
        <v>12</v>
      </c>
      <c r="F166" s="7" t="s">
        <v>10</v>
      </c>
      <c r="G166" s="7">
        <v>10450.552</v>
      </c>
      <c r="H166" s="3"/>
    </row>
    <row r="167" ht="14.25" customHeight="1">
      <c r="A167" s="7">
        <v>32.0</v>
      </c>
      <c r="B167" s="7" t="s">
        <v>8</v>
      </c>
      <c r="C167" s="7">
        <v>29.8</v>
      </c>
      <c r="D167" s="7">
        <v>2.0</v>
      </c>
      <c r="E167" s="7" t="s">
        <v>12</v>
      </c>
      <c r="F167" s="7" t="s">
        <v>10</v>
      </c>
      <c r="G167" s="7">
        <v>5152.134</v>
      </c>
      <c r="H167" s="3"/>
    </row>
    <row r="168" ht="14.25" customHeight="1">
      <c r="A168" s="7">
        <v>37.0</v>
      </c>
      <c r="B168" s="7" t="s">
        <v>11</v>
      </c>
      <c r="C168" s="7">
        <v>29.64</v>
      </c>
      <c r="D168" s="7">
        <v>0.0</v>
      </c>
      <c r="E168" s="7" t="s">
        <v>12</v>
      </c>
      <c r="F168" s="7" t="s">
        <v>14</v>
      </c>
      <c r="G168" s="7">
        <v>5028.1466</v>
      </c>
      <c r="H168" s="3"/>
    </row>
    <row r="169" ht="14.25" customHeight="1">
      <c r="A169" s="7">
        <v>47.0</v>
      </c>
      <c r="B169" s="7" t="s">
        <v>11</v>
      </c>
      <c r="C169" s="7">
        <v>28.215</v>
      </c>
      <c r="D169" s="7">
        <v>4.0</v>
      </c>
      <c r="E169" s="7" t="s">
        <v>12</v>
      </c>
      <c r="F169" s="7" t="s">
        <v>15</v>
      </c>
      <c r="G169" s="7">
        <v>10407.08585</v>
      </c>
      <c r="H169" s="3"/>
    </row>
    <row r="170" ht="14.25" customHeight="1">
      <c r="A170" s="7">
        <v>20.0</v>
      </c>
      <c r="B170" s="7" t="s">
        <v>8</v>
      </c>
      <c r="C170" s="7">
        <v>37.0</v>
      </c>
      <c r="D170" s="7">
        <v>5.0</v>
      </c>
      <c r="E170" s="7" t="s">
        <v>12</v>
      </c>
      <c r="F170" s="7" t="s">
        <v>10</v>
      </c>
      <c r="G170" s="7">
        <v>4830.63</v>
      </c>
      <c r="H170" s="3"/>
    </row>
    <row r="171" ht="14.25" customHeight="1">
      <c r="A171" s="7">
        <v>32.0</v>
      </c>
      <c r="B171" s="7" t="s">
        <v>8</v>
      </c>
      <c r="C171" s="7">
        <v>33.155</v>
      </c>
      <c r="D171" s="7">
        <v>3.0</v>
      </c>
      <c r="E171" s="7" t="s">
        <v>12</v>
      </c>
      <c r="F171" s="7" t="s">
        <v>14</v>
      </c>
      <c r="G171" s="7">
        <v>6128.79745</v>
      </c>
      <c r="H171" s="3"/>
    </row>
    <row r="172" ht="14.25" customHeight="1">
      <c r="A172" s="7">
        <v>19.0</v>
      </c>
      <c r="B172" s="7" t="s">
        <v>8</v>
      </c>
      <c r="C172" s="7">
        <v>31.825</v>
      </c>
      <c r="D172" s="7">
        <v>1.0</v>
      </c>
      <c r="E172" s="7" t="s">
        <v>12</v>
      </c>
      <c r="F172" s="7" t="s">
        <v>14</v>
      </c>
      <c r="G172" s="7">
        <v>2719.27975</v>
      </c>
      <c r="H172" s="3"/>
    </row>
    <row r="173" ht="14.25" customHeight="1">
      <c r="A173" s="7">
        <v>27.0</v>
      </c>
      <c r="B173" s="7" t="s">
        <v>11</v>
      </c>
      <c r="C173" s="7">
        <v>18.905</v>
      </c>
      <c r="D173" s="7">
        <v>3.0</v>
      </c>
      <c r="E173" s="7" t="s">
        <v>12</v>
      </c>
      <c r="F173" s="7" t="s">
        <v>15</v>
      </c>
      <c r="G173" s="7">
        <v>4827.90495</v>
      </c>
      <c r="H173" s="3"/>
    </row>
    <row r="174" ht="14.25" customHeight="1">
      <c r="A174" s="7">
        <v>63.0</v>
      </c>
      <c r="B174" s="7" t="s">
        <v>11</v>
      </c>
      <c r="C174" s="7">
        <v>41.47</v>
      </c>
      <c r="D174" s="7">
        <v>0.0</v>
      </c>
      <c r="E174" s="7" t="s">
        <v>12</v>
      </c>
      <c r="F174" s="7" t="s">
        <v>13</v>
      </c>
      <c r="G174" s="7">
        <v>13405.3903</v>
      </c>
      <c r="H174" s="3"/>
    </row>
    <row r="175" ht="14.25" customHeight="1">
      <c r="A175" s="7">
        <v>49.0</v>
      </c>
      <c r="B175" s="7" t="s">
        <v>11</v>
      </c>
      <c r="C175" s="7">
        <v>30.3</v>
      </c>
      <c r="D175" s="7">
        <v>0.0</v>
      </c>
      <c r="E175" s="7" t="s">
        <v>12</v>
      </c>
      <c r="F175" s="7" t="s">
        <v>10</v>
      </c>
      <c r="G175" s="7">
        <v>8116.68</v>
      </c>
      <c r="H175" s="3"/>
    </row>
    <row r="176" ht="14.25" customHeight="1">
      <c r="A176" s="7">
        <v>18.0</v>
      </c>
      <c r="B176" s="7" t="s">
        <v>11</v>
      </c>
      <c r="C176" s="7">
        <v>15.96</v>
      </c>
      <c r="D176" s="7">
        <v>0.0</v>
      </c>
      <c r="E176" s="7" t="s">
        <v>12</v>
      </c>
      <c r="F176" s="7" t="s">
        <v>15</v>
      </c>
      <c r="G176" s="7">
        <v>1694.7964</v>
      </c>
      <c r="H176" s="3"/>
    </row>
    <row r="177" ht="14.25" customHeight="1">
      <c r="A177" s="7">
        <v>35.0</v>
      </c>
      <c r="B177" s="7" t="s">
        <v>8</v>
      </c>
      <c r="C177" s="7">
        <v>34.8</v>
      </c>
      <c r="D177" s="7">
        <v>1.0</v>
      </c>
      <c r="E177" s="7" t="s">
        <v>12</v>
      </c>
      <c r="F177" s="7" t="s">
        <v>10</v>
      </c>
      <c r="G177" s="7">
        <v>5246.047</v>
      </c>
      <c r="H177" s="3"/>
    </row>
    <row r="178" ht="14.25" customHeight="1">
      <c r="A178" s="7">
        <v>24.0</v>
      </c>
      <c r="B178" s="7" t="s">
        <v>8</v>
      </c>
      <c r="C178" s="7">
        <v>33.345</v>
      </c>
      <c r="D178" s="7">
        <v>0.0</v>
      </c>
      <c r="E178" s="7" t="s">
        <v>12</v>
      </c>
      <c r="F178" s="7" t="s">
        <v>14</v>
      </c>
      <c r="G178" s="7">
        <v>2855.43755</v>
      </c>
      <c r="H178" s="3"/>
    </row>
    <row r="179" ht="14.25" customHeight="1">
      <c r="A179" s="7">
        <v>63.0</v>
      </c>
      <c r="B179" s="7" t="s">
        <v>8</v>
      </c>
      <c r="C179" s="7">
        <v>37.7</v>
      </c>
      <c r="D179" s="7">
        <v>0.0</v>
      </c>
      <c r="E179" s="7" t="s">
        <v>9</v>
      </c>
      <c r="F179" s="7" t="s">
        <v>10</v>
      </c>
      <c r="G179" s="7">
        <v>48824.45</v>
      </c>
      <c r="H179" s="3"/>
    </row>
    <row r="180" ht="14.25" customHeight="1">
      <c r="A180" s="7">
        <v>38.0</v>
      </c>
      <c r="B180" s="7" t="s">
        <v>11</v>
      </c>
      <c r="C180" s="7">
        <v>27.835</v>
      </c>
      <c r="D180" s="7">
        <v>2.0</v>
      </c>
      <c r="E180" s="7" t="s">
        <v>12</v>
      </c>
      <c r="F180" s="7" t="s">
        <v>14</v>
      </c>
      <c r="G180" s="7">
        <v>6455.86265</v>
      </c>
      <c r="H180" s="3"/>
    </row>
    <row r="181" ht="14.25" customHeight="1">
      <c r="A181" s="7">
        <v>54.0</v>
      </c>
      <c r="B181" s="7" t="s">
        <v>11</v>
      </c>
      <c r="C181" s="7">
        <v>29.2</v>
      </c>
      <c r="D181" s="7">
        <v>1.0</v>
      </c>
      <c r="E181" s="7" t="s">
        <v>12</v>
      </c>
      <c r="F181" s="7" t="s">
        <v>10</v>
      </c>
      <c r="G181" s="7">
        <v>10436.096</v>
      </c>
      <c r="H181" s="3"/>
    </row>
    <row r="182" ht="14.25" customHeight="1">
      <c r="A182" s="7">
        <v>46.0</v>
      </c>
      <c r="B182" s="7" t="s">
        <v>8</v>
      </c>
      <c r="C182" s="7">
        <v>28.9</v>
      </c>
      <c r="D182" s="7">
        <v>2.0</v>
      </c>
      <c r="E182" s="7" t="s">
        <v>12</v>
      </c>
      <c r="F182" s="7" t="s">
        <v>10</v>
      </c>
      <c r="G182" s="7">
        <v>8823.279</v>
      </c>
      <c r="H182" s="3"/>
    </row>
    <row r="183" ht="14.25" customHeight="1">
      <c r="A183" s="7">
        <v>41.0</v>
      </c>
      <c r="B183" s="7" t="s">
        <v>8</v>
      </c>
      <c r="C183" s="7">
        <v>33.155</v>
      </c>
      <c r="D183" s="7">
        <v>3.0</v>
      </c>
      <c r="E183" s="7" t="s">
        <v>12</v>
      </c>
      <c r="F183" s="7" t="s">
        <v>15</v>
      </c>
      <c r="G183" s="7">
        <v>8538.28845</v>
      </c>
      <c r="H183" s="3"/>
    </row>
    <row r="184" ht="14.25" customHeight="1">
      <c r="A184" s="7">
        <v>58.0</v>
      </c>
      <c r="B184" s="7" t="s">
        <v>11</v>
      </c>
      <c r="C184" s="7">
        <v>28.595</v>
      </c>
      <c r="D184" s="7">
        <v>0.0</v>
      </c>
      <c r="E184" s="7" t="s">
        <v>12</v>
      </c>
      <c r="F184" s="7" t="s">
        <v>14</v>
      </c>
      <c r="G184" s="7">
        <v>11735.87905</v>
      </c>
      <c r="H184" s="3"/>
    </row>
    <row r="185" ht="14.25" customHeight="1">
      <c r="A185" s="7">
        <v>18.0</v>
      </c>
      <c r="B185" s="7" t="s">
        <v>8</v>
      </c>
      <c r="C185" s="7">
        <v>38.28</v>
      </c>
      <c r="D185" s="7">
        <v>0.0</v>
      </c>
      <c r="E185" s="7" t="s">
        <v>12</v>
      </c>
      <c r="F185" s="7" t="s">
        <v>13</v>
      </c>
      <c r="G185" s="7">
        <v>1631.8212</v>
      </c>
      <c r="H185" s="3"/>
    </row>
    <row r="186" ht="14.25" customHeight="1">
      <c r="A186" s="7">
        <v>22.0</v>
      </c>
      <c r="B186" s="7" t="s">
        <v>11</v>
      </c>
      <c r="C186" s="7">
        <v>19.95</v>
      </c>
      <c r="D186" s="7">
        <v>3.0</v>
      </c>
      <c r="E186" s="7" t="s">
        <v>12</v>
      </c>
      <c r="F186" s="7" t="s">
        <v>15</v>
      </c>
      <c r="G186" s="7">
        <v>4005.4225</v>
      </c>
      <c r="H186" s="3"/>
    </row>
    <row r="187" ht="14.25" customHeight="1">
      <c r="A187" s="7">
        <v>44.0</v>
      </c>
      <c r="B187" s="7" t="s">
        <v>8</v>
      </c>
      <c r="C187" s="7">
        <v>26.41</v>
      </c>
      <c r="D187" s="7">
        <v>0.0</v>
      </c>
      <c r="E187" s="7" t="s">
        <v>12</v>
      </c>
      <c r="F187" s="7" t="s">
        <v>14</v>
      </c>
      <c r="G187" s="7">
        <v>7419.4779</v>
      </c>
      <c r="H187" s="3"/>
    </row>
    <row r="188" ht="14.25" customHeight="1">
      <c r="A188" s="7">
        <v>44.0</v>
      </c>
      <c r="B188" s="7" t="s">
        <v>11</v>
      </c>
      <c r="C188" s="7">
        <v>30.69</v>
      </c>
      <c r="D188" s="7">
        <v>2.0</v>
      </c>
      <c r="E188" s="7" t="s">
        <v>12</v>
      </c>
      <c r="F188" s="7" t="s">
        <v>13</v>
      </c>
      <c r="G188" s="7">
        <v>7731.4271</v>
      </c>
      <c r="H188" s="3"/>
    </row>
    <row r="189" ht="14.25" customHeight="1">
      <c r="A189" s="7">
        <v>36.0</v>
      </c>
      <c r="B189" s="7" t="s">
        <v>11</v>
      </c>
      <c r="C189" s="7">
        <v>41.895</v>
      </c>
      <c r="D189" s="7">
        <v>3.0</v>
      </c>
      <c r="E189" s="7" t="s">
        <v>9</v>
      </c>
      <c r="F189" s="7" t="s">
        <v>15</v>
      </c>
      <c r="G189" s="7">
        <v>43753.33705</v>
      </c>
      <c r="H189" s="3"/>
    </row>
    <row r="190" ht="14.25" customHeight="1">
      <c r="A190" s="7">
        <v>26.0</v>
      </c>
      <c r="B190" s="7" t="s">
        <v>8</v>
      </c>
      <c r="C190" s="7">
        <v>29.92</v>
      </c>
      <c r="D190" s="7">
        <v>2.0</v>
      </c>
      <c r="E190" s="7" t="s">
        <v>12</v>
      </c>
      <c r="F190" s="7" t="s">
        <v>13</v>
      </c>
      <c r="G190" s="7">
        <v>3981.9768</v>
      </c>
      <c r="H190" s="3"/>
    </row>
    <row r="191" ht="14.25" customHeight="1">
      <c r="A191" s="7">
        <v>30.0</v>
      </c>
      <c r="B191" s="7" t="s">
        <v>8</v>
      </c>
      <c r="C191" s="7">
        <v>30.9</v>
      </c>
      <c r="D191" s="7">
        <v>3.0</v>
      </c>
      <c r="E191" s="7" t="s">
        <v>12</v>
      </c>
      <c r="F191" s="7" t="s">
        <v>10</v>
      </c>
      <c r="G191" s="7">
        <v>5325.651</v>
      </c>
      <c r="H191" s="3"/>
    </row>
    <row r="192" ht="14.25" customHeight="1">
      <c r="A192" s="7">
        <v>41.0</v>
      </c>
      <c r="B192" s="7" t="s">
        <v>8</v>
      </c>
      <c r="C192" s="7">
        <v>32.2</v>
      </c>
      <c r="D192" s="7">
        <v>1.0</v>
      </c>
      <c r="E192" s="7" t="s">
        <v>12</v>
      </c>
      <c r="F192" s="7" t="s">
        <v>10</v>
      </c>
      <c r="G192" s="7">
        <v>6775.961</v>
      </c>
      <c r="H192" s="3"/>
    </row>
    <row r="193" ht="14.25" customHeight="1">
      <c r="A193" s="7">
        <v>29.0</v>
      </c>
      <c r="B193" s="7" t="s">
        <v>8</v>
      </c>
      <c r="C193" s="7">
        <v>32.11</v>
      </c>
      <c r="D193" s="7">
        <v>2.0</v>
      </c>
      <c r="E193" s="7" t="s">
        <v>12</v>
      </c>
      <c r="F193" s="7" t="s">
        <v>14</v>
      </c>
      <c r="G193" s="7">
        <v>4922.9159</v>
      </c>
      <c r="H193" s="3"/>
    </row>
    <row r="194" ht="14.25" customHeight="1">
      <c r="A194" s="7">
        <v>61.0</v>
      </c>
      <c r="B194" s="7" t="s">
        <v>11</v>
      </c>
      <c r="C194" s="7">
        <v>31.57</v>
      </c>
      <c r="D194" s="7">
        <v>0.0</v>
      </c>
      <c r="E194" s="7" t="s">
        <v>12</v>
      </c>
      <c r="F194" s="7" t="s">
        <v>13</v>
      </c>
      <c r="G194" s="7">
        <v>12557.6053</v>
      </c>
      <c r="H194" s="3"/>
    </row>
    <row r="195" ht="14.25" customHeight="1">
      <c r="A195" s="7">
        <v>36.0</v>
      </c>
      <c r="B195" s="7" t="s">
        <v>8</v>
      </c>
      <c r="C195" s="7">
        <v>26.2</v>
      </c>
      <c r="D195" s="7">
        <v>0.0</v>
      </c>
      <c r="E195" s="7" t="s">
        <v>12</v>
      </c>
      <c r="F195" s="7" t="s">
        <v>10</v>
      </c>
      <c r="G195" s="7">
        <v>4883.866</v>
      </c>
      <c r="H195" s="3"/>
    </row>
    <row r="196" ht="14.25" customHeight="1">
      <c r="A196" s="7">
        <v>25.0</v>
      </c>
      <c r="B196" s="7" t="s">
        <v>11</v>
      </c>
      <c r="C196" s="7">
        <v>25.74</v>
      </c>
      <c r="D196" s="7">
        <v>0.0</v>
      </c>
      <c r="E196" s="7" t="s">
        <v>12</v>
      </c>
      <c r="F196" s="7" t="s">
        <v>13</v>
      </c>
      <c r="G196" s="7">
        <v>2137.6536</v>
      </c>
      <c r="H196" s="3"/>
    </row>
    <row r="197" ht="14.25" customHeight="1">
      <c r="A197" s="7">
        <v>56.0</v>
      </c>
      <c r="B197" s="7" t="s">
        <v>8</v>
      </c>
      <c r="C197" s="7">
        <v>26.6</v>
      </c>
      <c r="D197" s="7">
        <v>1.0</v>
      </c>
      <c r="E197" s="7" t="s">
        <v>12</v>
      </c>
      <c r="F197" s="7" t="s">
        <v>14</v>
      </c>
      <c r="G197" s="7">
        <v>12044.342</v>
      </c>
      <c r="H197" s="3"/>
    </row>
    <row r="198" ht="14.25" customHeight="1">
      <c r="A198" s="7">
        <v>18.0</v>
      </c>
      <c r="B198" s="7" t="s">
        <v>11</v>
      </c>
      <c r="C198" s="7">
        <v>34.43</v>
      </c>
      <c r="D198" s="7">
        <v>0.0</v>
      </c>
      <c r="E198" s="7" t="s">
        <v>12</v>
      </c>
      <c r="F198" s="7" t="s">
        <v>13</v>
      </c>
      <c r="G198" s="7">
        <v>1137.4697</v>
      </c>
      <c r="H198" s="3"/>
    </row>
    <row r="199" ht="14.25" customHeight="1">
      <c r="A199" s="7">
        <v>19.0</v>
      </c>
      <c r="B199" s="7" t="s">
        <v>11</v>
      </c>
      <c r="C199" s="7">
        <v>30.59</v>
      </c>
      <c r="D199" s="7">
        <v>0.0</v>
      </c>
      <c r="E199" s="7" t="s">
        <v>12</v>
      </c>
      <c r="F199" s="7" t="s">
        <v>14</v>
      </c>
      <c r="G199" s="7">
        <v>1639.5631</v>
      </c>
      <c r="H199" s="3"/>
    </row>
    <row r="200" ht="14.25" customHeight="1">
      <c r="A200" s="7">
        <v>39.0</v>
      </c>
      <c r="B200" s="7" t="s">
        <v>8</v>
      </c>
      <c r="C200" s="7">
        <v>32.8</v>
      </c>
      <c r="D200" s="7">
        <v>0.0</v>
      </c>
      <c r="E200" s="7" t="s">
        <v>12</v>
      </c>
      <c r="F200" s="7" t="s">
        <v>10</v>
      </c>
      <c r="G200" s="7">
        <v>5649.715</v>
      </c>
      <c r="H200" s="3"/>
    </row>
    <row r="201" ht="14.25" customHeight="1">
      <c r="A201" s="7">
        <v>45.0</v>
      </c>
      <c r="B201" s="7" t="s">
        <v>8</v>
      </c>
      <c r="C201" s="7">
        <v>28.6</v>
      </c>
      <c r="D201" s="7">
        <v>2.0</v>
      </c>
      <c r="E201" s="7" t="s">
        <v>12</v>
      </c>
      <c r="F201" s="7" t="s">
        <v>13</v>
      </c>
      <c r="G201" s="7">
        <v>8516.829</v>
      </c>
      <c r="H201" s="3"/>
    </row>
    <row r="202" ht="14.25" customHeight="1">
      <c r="A202" s="7">
        <v>51.0</v>
      </c>
      <c r="B202" s="7" t="s">
        <v>8</v>
      </c>
      <c r="C202" s="7">
        <v>18.05</v>
      </c>
      <c r="D202" s="7">
        <v>0.0</v>
      </c>
      <c r="E202" s="7" t="s">
        <v>12</v>
      </c>
      <c r="F202" s="7" t="s">
        <v>14</v>
      </c>
      <c r="G202" s="7">
        <v>9644.2525</v>
      </c>
      <c r="H202" s="3"/>
    </row>
    <row r="203" ht="14.25" customHeight="1">
      <c r="A203" s="7">
        <v>64.0</v>
      </c>
      <c r="B203" s="7" t="s">
        <v>8</v>
      </c>
      <c r="C203" s="7">
        <v>39.33</v>
      </c>
      <c r="D203" s="7">
        <v>0.0</v>
      </c>
      <c r="E203" s="7" t="s">
        <v>12</v>
      </c>
      <c r="F203" s="7" t="s">
        <v>15</v>
      </c>
      <c r="G203" s="7">
        <v>14901.5167</v>
      </c>
      <c r="H203" s="3"/>
    </row>
    <row r="204" ht="14.25" customHeight="1">
      <c r="A204" s="7">
        <v>19.0</v>
      </c>
      <c r="B204" s="7" t="s">
        <v>8</v>
      </c>
      <c r="C204" s="7">
        <v>32.11</v>
      </c>
      <c r="D204" s="7">
        <v>0.0</v>
      </c>
      <c r="E204" s="7" t="s">
        <v>12</v>
      </c>
      <c r="F204" s="7" t="s">
        <v>14</v>
      </c>
      <c r="G204" s="7">
        <v>2130.6759</v>
      </c>
      <c r="H204" s="3"/>
    </row>
    <row r="205" ht="14.25" customHeight="1">
      <c r="A205" s="7">
        <v>48.0</v>
      </c>
      <c r="B205" s="7" t="s">
        <v>8</v>
      </c>
      <c r="C205" s="7">
        <v>32.23</v>
      </c>
      <c r="D205" s="7">
        <v>1.0</v>
      </c>
      <c r="E205" s="7" t="s">
        <v>12</v>
      </c>
      <c r="F205" s="7" t="s">
        <v>13</v>
      </c>
      <c r="G205" s="7">
        <v>8871.1517</v>
      </c>
      <c r="H205" s="3"/>
    </row>
    <row r="206" ht="14.25" customHeight="1">
      <c r="A206" s="7">
        <v>60.0</v>
      </c>
      <c r="B206" s="7" t="s">
        <v>8</v>
      </c>
      <c r="C206" s="7">
        <v>24.035</v>
      </c>
      <c r="D206" s="7">
        <v>0.0</v>
      </c>
      <c r="E206" s="7" t="s">
        <v>12</v>
      </c>
      <c r="F206" s="7" t="s">
        <v>14</v>
      </c>
      <c r="G206" s="7">
        <v>13012.20865</v>
      </c>
      <c r="H206" s="3"/>
    </row>
    <row r="207" ht="14.25" customHeight="1">
      <c r="A207" s="7">
        <v>27.0</v>
      </c>
      <c r="B207" s="7" t="s">
        <v>8</v>
      </c>
      <c r="C207" s="7">
        <v>36.08</v>
      </c>
      <c r="D207" s="7">
        <v>0.0</v>
      </c>
      <c r="E207" s="7" t="s">
        <v>9</v>
      </c>
      <c r="F207" s="7" t="s">
        <v>13</v>
      </c>
      <c r="G207" s="7">
        <v>37133.8982</v>
      </c>
      <c r="H207" s="3"/>
    </row>
    <row r="208" ht="14.25" customHeight="1">
      <c r="A208" s="7">
        <v>46.0</v>
      </c>
      <c r="B208" s="7" t="s">
        <v>11</v>
      </c>
      <c r="C208" s="7">
        <v>22.3</v>
      </c>
      <c r="D208" s="7">
        <v>0.0</v>
      </c>
      <c r="E208" s="7" t="s">
        <v>12</v>
      </c>
      <c r="F208" s="7" t="s">
        <v>10</v>
      </c>
      <c r="G208" s="7">
        <v>7147.105</v>
      </c>
      <c r="H208" s="3"/>
    </row>
    <row r="209" ht="14.25" customHeight="1">
      <c r="A209" s="7">
        <v>28.0</v>
      </c>
      <c r="B209" s="7" t="s">
        <v>8</v>
      </c>
      <c r="C209" s="7">
        <v>28.88</v>
      </c>
      <c r="D209" s="7">
        <v>1.0</v>
      </c>
      <c r="E209" s="7" t="s">
        <v>12</v>
      </c>
      <c r="F209" s="7" t="s">
        <v>15</v>
      </c>
      <c r="G209" s="7">
        <v>4337.7352</v>
      </c>
      <c r="H209" s="3"/>
    </row>
    <row r="210" ht="14.25" customHeight="1">
      <c r="A210" s="7">
        <v>59.0</v>
      </c>
      <c r="B210" s="7" t="s">
        <v>11</v>
      </c>
      <c r="C210" s="7">
        <v>26.4</v>
      </c>
      <c r="D210" s="7">
        <v>0.0</v>
      </c>
      <c r="E210" s="7" t="s">
        <v>12</v>
      </c>
      <c r="F210" s="7" t="s">
        <v>13</v>
      </c>
      <c r="G210" s="7">
        <v>11743.299</v>
      </c>
      <c r="H210" s="3"/>
    </row>
    <row r="211" ht="14.25" customHeight="1">
      <c r="A211" s="7">
        <v>35.0</v>
      </c>
      <c r="B211" s="7" t="s">
        <v>11</v>
      </c>
      <c r="C211" s="7">
        <v>27.74</v>
      </c>
      <c r="D211" s="7">
        <v>2.0</v>
      </c>
      <c r="E211" s="7" t="s">
        <v>9</v>
      </c>
      <c r="F211" s="7" t="s">
        <v>15</v>
      </c>
      <c r="G211" s="7">
        <v>20984.0936</v>
      </c>
      <c r="H211" s="3"/>
    </row>
    <row r="212" ht="14.25" customHeight="1">
      <c r="A212" s="7">
        <v>63.0</v>
      </c>
      <c r="B212" s="7" t="s">
        <v>8</v>
      </c>
      <c r="C212" s="7">
        <v>31.8</v>
      </c>
      <c r="D212" s="7">
        <v>0.0</v>
      </c>
      <c r="E212" s="7" t="s">
        <v>12</v>
      </c>
      <c r="F212" s="7" t="s">
        <v>10</v>
      </c>
      <c r="G212" s="7">
        <v>13880.949</v>
      </c>
      <c r="H212" s="3"/>
    </row>
    <row r="213" ht="14.25" customHeight="1">
      <c r="A213" s="7">
        <v>40.0</v>
      </c>
      <c r="B213" s="7" t="s">
        <v>11</v>
      </c>
      <c r="C213" s="7">
        <v>41.23</v>
      </c>
      <c r="D213" s="7">
        <v>1.0</v>
      </c>
      <c r="E213" s="7" t="s">
        <v>12</v>
      </c>
      <c r="F213" s="7" t="s">
        <v>15</v>
      </c>
      <c r="G213" s="7">
        <v>6610.1097</v>
      </c>
      <c r="H213" s="3"/>
    </row>
    <row r="214" ht="14.25" customHeight="1">
      <c r="A214" s="7">
        <v>20.0</v>
      </c>
      <c r="B214" s="7" t="s">
        <v>11</v>
      </c>
      <c r="C214" s="7">
        <v>33.0</v>
      </c>
      <c r="D214" s="7">
        <v>1.0</v>
      </c>
      <c r="E214" s="7" t="s">
        <v>12</v>
      </c>
      <c r="F214" s="7" t="s">
        <v>10</v>
      </c>
      <c r="G214" s="7">
        <v>1980.07</v>
      </c>
      <c r="H214" s="3"/>
    </row>
    <row r="215" ht="14.25" customHeight="1">
      <c r="A215" s="7">
        <v>40.0</v>
      </c>
      <c r="B215" s="7" t="s">
        <v>11</v>
      </c>
      <c r="C215" s="7">
        <v>30.875</v>
      </c>
      <c r="D215" s="7">
        <v>4.0</v>
      </c>
      <c r="E215" s="7" t="s">
        <v>12</v>
      </c>
      <c r="F215" s="7" t="s">
        <v>14</v>
      </c>
      <c r="G215" s="7">
        <v>8162.71625</v>
      </c>
      <c r="H215" s="3"/>
    </row>
    <row r="216" ht="14.25" customHeight="1">
      <c r="A216" s="7">
        <v>24.0</v>
      </c>
      <c r="B216" s="7" t="s">
        <v>11</v>
      </c>
      <c r="C216" s="7">
        <v>28.5</v>
      </c>
      <c r="D216" s="7">
        <v>2.0</v>
      </c>
      <c r="E216" s="7" t="s">
        <v>12</v>
      </c>
      <c r="F216" s="7" t="s">
        <v>14</v>
      </c>
      <c r="G216" s="7">
        <v>3537.703</v>
      </c>
      <c r="H216" s="3"/>
    </row>
    <row r="217" ht="14.25" customHeight="1">
      <c r="A217" s="7">
        <v>34.0</v>
      </c>
      <c r="B217" s="7" t="s">
        <v>8</v>
      </c>
      <c r="C217" s="7">
        <v>26.73</v>
      </c>
      <c r="D217" s="7">
        <v>1.0</v>
      </c>
      <c r="E217" s="7" t="s">
        <v>12</v>
      </c>
      <c r="F217" s="7" t="s">
        <v>13</v>
      </c>
      <c r="G217" s="7">
        <v>5002.7827</v>
      </c>
      <c r="H217" s="3"/>
    </row>
    <row r="218" ht="14.25" customHeight="1">
      <c r="A218" s="7">
        <v>45.0</v>
      </c>
      <c r="B218" s="7" t="s">
        <v>8</v>
      </c>
      <c r="C218" s="7">
        <v>30.9</v>
      </c>
      <c r="D218" s="7">
        <v>2.0</v>
      </c>
      <c r="E218" s="7" t="s">
        <v>12</v>
      </c>
      <c r="F218" s="7" t="s">
        <v>10</v>
      </c>
      <c r="G218" s="7">
        <v>8520.026</v>
      </c>
      <c r="H218" s="3"/>
    </row>
    <row r="219" ht="14.25" customHeight="1">
      <c r="A219" s="7">
        <v>41.0</v>
      </c>
      <c r="B219" s="7" t="s">
        <v>8</v>
      </c>
      <c r="C219" s="7">
        <v>37.1</v>
      </c>
      <c r="D219" s="7">
        <v>2.0</v>
      </c>
      <c r="E219" s="7" t="s">
        <v>12</v>
      </c>
      <c r="F219" s="7" t="s">
        <v>10</v>
      </c>
      <c r="G219" s="7">
        <v>7371.772</v>
      </c>
      <c r="H219" s="3"/>
    </row>
    <row r="220" ht="14.25" customHeight="1">
      <c r="A220" s="7">
        <v>53.0</v>
      </c>
      <c r="B220" s="7" t="s">
        <v>8</v>
      </c>
      <c r="C220" s="7">
        <v>26.6</v>
      </c>
      <c r="D220" s="7">
        <v>0.0</v>
      </c>
      <c r="E220" s="7" t="s">
        <v>12</v>
      </c>
      <c r="F220" s="7" t="s">
        <v>14</v>
      </c>
      <c r="G220" s="7">
        <v>10355.641</v>
      </c>
      <c r="H220" s="3"/>
    </row>
    <row r="221" ht="14.25" customHeight="1">
      <c r="A221" s="7">
        <v>27.0</v>
      </c>
      <c r="B221" s="7" t="s">
        <v>11</v>
      </c>
      <c r="C221" s="7">
        <v>23.1</v>
      </c>
      <c r="D221" s="7">
        <v>0.0</v>
      </c>
      <c r="E221" s="7" t="s">
        <v>12</v>
      </c>
      <c r="F221" s="7" t="s">
        <v>13</v>
      </c>
      <c r="G221" s="7">
        <v>2483.736</v>
      </c>
      <c r="H221" s="3"/>
    </row>
    <row r="222" ht="14.25" customHeight="1">
      <c r="A222" s="7">
        <v>26.0</v>
      </c>
      <c r="B222" s="7" t="s">
        <v>8</v>
      </c>
      <c r="C222" s="7">
        <v>29.92</v>
      </c>
      <c r="D222" s="7">
        <v>1.0</v>
      </c>
      <c r="E222" s="7" t="s">
        <v>12</v>
      </c>
      <c r="F222" s="7" t="s">
        <v>13</v>
      </c>
      <c r="G222" s="7">
        <v>3392.9768</v>
      </c>
      <c r="H222" s="3"/>
    </row>
    <row r="223" ht="14.25" customHeight="1">
      <c r="A223" s="7">
        <v>24.0</v>
      </c>
      <c r="B223" s="7" t="s">
        <v>8</v>
      </c>
      <c r="C223" s="7">
        <v>23.21</v>
      </c>
      <c r="D223" s="7">
        <v>0.0</v>
      </c>
      <c r="E223" s="7" t="s">
        <v>12</v>
      </c>
      <c r="F223" s="7" t="s">
        <v>13</v>
      </c>
      <c r="G223" s="7">
        <v>25081.76784</v>
      </c>
      <c r="H223" s="3"/>
    </row>
    <row r="224" ht="14.25" customHeight="1">
      <c r="A224" s="7">
        <v>34.0</v>
      </c>
      <c r="B224" s="7" t="s">
        <v>8</v>
      </c>
      <c r="C224" s="7">
        <v>33.7</v>
      </c>
      <c r="D224" s="7">
        <v>1.0</v>
      </c>
      <c r="E224" s="7" t="s">
        <v>12</v>
      </c>
      <c r="F224" s="7" t="s">
        <v>10</v>
      </c>
      <c r="G224" s="7">
        <v>5012.471</v>
      </c>
      <c r="H224" s="3"/>
    </row>
    <row r="225" ht="14.25" customHeight="1">
      <c r="A225" s="7">
        <v>53.0</v>
      </c>
      <c r="B225" s="7" t="s">
        <v>8</v>
      </c>
      <c r="C225" s="7">
        <v>33.25</v>
      </c>
      <c r="D225" s="7">
        <v>0.0</v>
      </c>
      <c r="E225" s="7" t="s">
        <v>12</v>
      </c>
      <c r="F225" s="7" t="s">
        <v>15</v>
      </c>
      <c r="G225" s="7">
        <v>10564.8845</v>
      </c>
      <c r="H225" s="3"/>
    </row>
    <row r="226" ht="14.25" customHeight="1">
      <c r="A226" s="7">
        <v>32.0</v>
      </c>
      <c r="B226" s="7" t="s">
        <v>11</v>
      </c>
      <c r="C226" s="7">
        <v>30.8</v>
      </c>
      <c r="D226" s="7">
        <v>3.0</v>
      </c>
      <c r="E226" s="7" t="s">
        <v>12</v>
      </c>
      <c r="F226" s="7" t="s">
        <v>10</v>
      </c>
      <c r="G226" s="7">
        <v>5253.524</v>
      </c>
      <c r="H226" s="3"/>
    </row>
    <row r="227" ht="14.25" customHeight="1">
      <c r="A227" s="7">
        <v>19.0</v>
      </c>
      <c r="B227" s="7" t="s">
        <v>11</v>
      </c>
      <c r="C227" s="7">
        <v>34.8</v>
      </c>
      <c r="D227" s="7">
        <v>0.0</v>
      </c>
      <c r="E227" s="7" t="s">
        <v>9</v>
      </c>
      <c r="F227" s="7" t="s">
        <v>10</v>
      </c>
      <c r="G227" s="7">
        <v>34779.615</v>
      </c>
      <c r="H227" s="3"/>
    </row>
    <row r="228" ht="14.25" customHeight="1">
      <c r="A228" s="7">
        <v>42.0</v>
      </c>
      <c r="B228" s="7" t="s">
        <v>11</v>
      </c>
      <c r="C228" s="7">
        <v>24.64</v>
      </c>
      <c r="D228" s="7">
        <v>0.0</v>
      </c>
      <c r="E228" s="7" t="s">
        <v>9</v>
      </c>
      <c r="F228" s="7" t="s">
        <v>13</v>
      </c>
      <c r="G228" s="7">
        <v>19515.5416</v>
      </c>
      <c r="H228" s="3"/>
    </row>
    <row r="229" ht="14.25" customHeight="1">
      <c r="A229" s="7">
        <v>55.0</v>
      </c>
      <c r="B229" s="7" t="s">
        <v>11</v>
      </c>
      <c r="C229" s="7">
        <v>33.88</v>
      </c>
      <c r="D229" s="7">
        <v>3.0</v>
      </c>
      <c r="E229" s="7" t="s">
        <v>12</v>
      </c>
      <c r="F229" s="7" t="s">
        <v>13</v>
      </c>
      <c r="G229" s="7">
        <v>11987.1682</v>
      </c>
      <c r="H229" s="3"/>
    </row>
    <row r="230" ht="14.25" customHeight="1">
      <c r="A230" s="7">
        <v>28.0</v>
      </c>
      <c r="B230" s="7" t="s">
        <v>11</v>
      </c>
      <c r="C230" s="7">
        <v>38.06</v>
      </c>
      <c r="D230" s="7">
        <v>0.0</v>
      </c>
      <c r="E230" s="7" t="s">
        <v>12</v>
      </c>
      <c r="F230" s="7" t="s">
        <v>13</v>
      </c>
      <c r="G230" s="7">
        <v>2689.4954</v>
      </c>
      <c r="H230" s="3"/>
    </row>
    <row r="231" ht="14.25" customHeight="1">
      <c r="A231" s="7">
        <v>58.0</v>
      </c>
      <c r="B231" s="7" t="s">
        <v>8</v>
      </c>
      <c r="C231" s="7">
        <v>41.91</v>
      </c>
      <c r="D231" s="7">
        <v>0.0</v>
      </c>
      <c r="E231" s="7" t="s">
        <v>12</v>
      </c>
      <c r="F231" s="7" t="s">
        <v>13</v>
      </c>
      <c r="G231" s="7">
        <v>24227.33724</v>
      </c>
      <c r="H231" s="3"/>
    </row>
    <row r="232" ht="14.25" customHeight="1">
      <c r="A232" s="7">
        <v>41.0</v>
      </c>
      <c r="B232" s="7" t="s">
        <v>8</v>
      </c>
      <c r="C232" s="7">
        <v>31.635</v>
      </c>
      <c r="D232" s="7">
        <v>1.0</v>
      </c>
      <c r="E232" s="7" t="s">
        <v>12</v>
      </c>
      <c r="F232" s="7" t="s">
        <v>15</v>
      </c>
      <c r="G232" s="7">
        <v>7358.17565</v>
      </c>
      <c r="H232" s="3"/>
    </row>
    <row r="233" ht="14.25" customHeight="1">
      <c r="A233" s="7">
        <v>47.0</v>
      </c>
      <c r="B233" s="7" t="s">
        <v>11</v>
      </c>
      <c r="C233" s="7">
        <v>25.46</v>
      </c>
      <c r="D233" s="7">
        <v>2.0</v>
      </c>
      <c r="E233" s="7" t="s">
        <v>12</v>
      </c>
      <c r="F233" s="7" t="s">
        <v>15</v>
      </c>
      <c r="G233" s="7">
        <v>9225.2564</v>
      </c>
      <c r="H233" s="3"/>
    </row>
    <row r="234" ht="14.25" customHeight="1">
      <c r="A234" s="7">
        <v>42.0</v>
      </c>
      <c r="B234" s="7" t="s">
        <v>8</v>
      </c>
      <c r="C234" s="7">
        <v>36.195</v>
      </c>
      <c r="D234" s="7">
        <v>1.0</v>
      </c>
      <c r="E234" s="7" t="s">
        <v>12</v>
      </c>
      <c r="F234" s="7" t="s">
        <v>14</v>
      </c>
      <c r="G234" s="7">
        <v>7443.64305</v>
      </c>
      <c r="H234" s="3"/>
    </row>
    <row r="235" ht="14.25" customHeight="1">
      <c r="A235" s="7">
        <v>59.0</v>
      </c>
      <c r="B235" s="7" t="s">
        <v>8</v>
      </c>
      <c r="C235" s="7">
        <v>27.83</v>
      </c>
      <c r="D235" s="7">
        <v>3.0</v>
      </c>
      <c r="E235" s="7" t="s">
        <v>12</v>
      </c>
      <c r="F235" s="7" t="s">
        <v>13</v>
      </c>
      <c r="G235" s="7">
        <v>14001.2867</v>
      </c>
      <c r="H235" s="3"/>
    </row>
    <row r="236" ht="14.25" customHeight="1">
      <c r="A236" s="7">
        <v>19.0</v>
      </c>
      <c r="B236" s="7" t="s">
        <v>8</v>
      </c>
      <c r="C236" s="7">
        <v>17.8</v>
      </c>
      <c r="D236" s="7">
        <v>0.0</v>
      </c>
      <c r="E236" s="7" t="s">
        <v>12</v>
      </c>
      <c r="F236" s="7" t="s">
        <v>10</v>
      </c>
      <c r="G236" s="7">
        <v>1727.785</v>
      </c>
      <c r="H236" s="3"/>
    </row>
    <row r="237" ht="14.25" customHeight="1">
      <c r="A237" s="7">
        <v>59.0</v>
      </c>
      <c r="B237" s="7" t="s">
        <v>11</v>
      </c>
      <c r="C237" s="7">
        <v>27.5</v>
      </c>
      <c r="D237" s="7">
        <v>1.0</v>
      </c>
      <c r="E237" s="7" t="s">
        <v>12</v>
      </c>
      <c r="F237" s="7" t="s">
        <v>10</v>
      </c>
      <c r="G237" s="7">
        <v>12333.828</v>
      </c>
      <c r="H237" s="3"/>
    </row>
    <row r="238" ht="14.25" customHeight="1">
      <c r="A238" s="7">
        <v>39.0</v>
      </c>
      <c r="B238" s="7" t="s">
        <v>11</v>
      </c>
      <c r="C238" s="7">
        <v>24.51</v>
      </c>
      <c r="D238" s="7">
        <v>2.0</v>
      </c>
      <c r="E238" s="7" t="s">
        <v>12</v>
      </c>
      <c r="F238" s="7" t="s">
        <v>14</v>
      </c>
      <c r="G238" s="7">
        <v>6710.1919</v>
      </c>
      <c r="H238" s="3"/>
    </row>
    <row r="239" ht="14.25" customHeight="1">
      <c r="A239" s="7">
        <v>40.0</v>
      </c>
      <c r="B239" s="7" t="s">
        <v>8</v>
      </c>
      <c r="C239" s="7">
        <v>22.22</v>
      </c>
      <c r="D239" s="7">
        <v>2.0</v>
      </c>
      <c r="E239" s="7" t="s">
        <v>9</v>
      </c>
      <c r="F239" s="7" t="s">
        <v>13</v>
      </c>
      <c r="G239" s="7">
        <v>19444.2658</v>
      </c>
      <c r="H239" s="3"/>
    </row>
    <row r="240" ht="14.25" customHeight="1">
      <c r="A240" s="7">
        <v>18.0</v>
      </c>
      <c r="B240" s="7" t="s">
        <v>8</v>
      </c>
      <c r="C240" s="7">
        <v>26.73</v>
      </c>
      <c r="D240" s="7">
        <v>0.0</v>
      </c>
      <c r="E240" s="7" t="s">
        <v>12</v>
      </c>
      <c r="F240" s="7" t="s">
        <v>13</v>
      </c>
      <c r="G240" s="7">
        <v>1615.7667</v>
      </c>
      <c r="H240" s="3"/>
    </row>
    <row r="241" ht="14.25" customHeight="1">
      <c r="A241" s="7">
        <v>31.0</v>
      </c>
      <c r="B241" s="7" t="s">
        <v>11</v>
      </c>
      <c r="C241" s="7">
        <v>38.39</v>
      </c>
      <c r="D241" s="7">
        <v>2.0</v>
      </c>
      <c r="E241" s="7" t="s">
        <v>12</v>
      </c>
      <c r="F241" s="7" t="s">
        <v>13</v>
      </c>
      <c r="G241" s="7">
        <v>4463.2051</v>
      </c>
      <c r="H241" s="3"/>
    </row>
    <row r="242" ht="14.25" customHeight="1">
      <c r="A242" s="7">
        <v>19.0</v>
      </c>
      <c r="B242" s="7" t="s">
        <v>11</v>
      </c>
      <c r="C242" s="7">
        <v>29.07</v>
      </c>
      <c r="D242" s="7">
        <v>0.0</v>
      </c>
      <c r="E242" s="7" t="s">
        <v>9</v>
      </c>
      <c r="F242" s="7" t="s">
        <v>14</v>
      </c>
      <c r="G242" s="7">
        <v>17352.6803</v>
      </c>
      <c r="H242" s="3"/>
    </row>
    <row r="243" ht="14.25" customHeight="1">
      <c r="A243" s="7">
        <v>44.0</v>
      </c>
      <c r="B243" s="7" t="s">
        <v>11</v>
      </c>
      <c r="C243" s="7">
        <v>38.06</v>
      </c>
      <c r="D243" s="7">
        <v>1.0</v>
      </c>
      <c r="E243" s="7" t="s">
        <v>12</v>
      </c>
      <c r="F243" s="7" t="s">
        <v>13</v>
      </c>
      <c r="G243" s="7">
        <v>7152.6714</v>
      </c>
      <c r="H243" s="3"/>
    </row>
    <row r="244" ht="14.25" customHeight="1">
      <c r="A244" s="7">
        <v>23.0</v>
      </c>
      <c r="B244" s="7" t="s">
        <v>8</v>
      </c>
      <c r="C244" s="7">
        <v>36.67</v>
      </c>
      <c r="D244" s="7">
        <v>2.0</v>
      </c>
      <c r="E244" s="7" t="s">
        <v>9</v>
      </c>
      <c r="F244" s="7" t="s">
        <v>15</v>
      </c>
      <c r="G244" s="7">
        <v>38511.6283</v>
      </c>
      <c r="H244" s="3"/>
    </row>
    <row r="245" ht="14.25" customHeight="1">
      <c r="A245" s="7">
        <v>33.0</v>
      </c>
      <c r="B245" s="7" t="s">
        <v>8</v>
      </c>
      <c r="C245" s="7">
        <v>22.135</v>
      </c>
      <c r="D245" s="7">
        <v>1.0</v>
      </c>
      <c r="E245" s="7" t="s">
        <v>12</v>
      </c>
      <c r="F245" s="7" t="s">
        <v>15</v>
      </c>
      <c r="G245" s="7">
        <v>5354.07465</v>
      </c>
      <c r="H245" s="3"/>
    </row>
    <row r="246" ht="14.25" customHeight="1">
      <c r="A246" s="7">
        <v>55.0</v>
      </c>
      <c r="B246" s="7" t="s">
        <v>8</v>
      </c>
      <c r="C246" s="7">
        <v>26.8</v>
      </c>
      <c r="D246" s="7">
        <v>1.0</v>
      </c>
      <c r="E246" s="7" t="s">
        <v>12</v>
      </c>
      <c r="F246" s="7" t="s">
        <v>10</v>
      </c>
      <c r="G246" s="7">
        <v>35160.13457</v>
      </c>
      <c r="H246" s="3"/>
    </row>
    <row r="247" ht="14.25" customHeight="1">
      <c r="A247" s="7">
        <v>40.0</v>
      </c>
      <c r="B247" s="7" t="s">
        <v>11</v>
      </c>
      <c r="C247" s="7">
        <v>35.3</v>
      </c>
      <c r="D247" s="7">
        <v>3.0</v>
      </c>
      <c r="E247" s="7" t="s">
        <v>12</v>
      </c>
      <c r="F247" s="7" t="s">
        <v>10</v>
      </c>
      <c r="G247" s="7">
        <v>7196.867</v>
      </c>
      <c r="H247" s="3"/>
    </row>
    <row r="248" ht="14.25" customHeight="1">
      <c r="A248" s="7">
        <v>63.0</v>
      </c>
      <c r="B248" s="7" t="s">
        <v>8</v>
      </c>
      <c r="C248" s="7">
        <v>27.74</v>
      </c>
      <c r="D248" s="7">
        <v>0.0</v>
      </c>
      <c r="E248" s="7" t="s">
        <v>9</v>
      </c>
      <c r="F248" s="7" t="s">
        <v>15</v>
      </c>
      <c r="G248" s="7">
        <v>29523.1656</v>
      </c>
      <c r="H248" s="3"/>
    </row>
    <row r="249" ht="14.25" customHeight="1">
      <c r="A249" s="7">
        <v>54.0</v>
      </c>
      <c r="B249" s="7" t="s">
        <v>11</v>
      </c>
      <c r="C249" s="7">
        <v>30.02</v>
      </c>
      <c r="D249" s="7">
        <v>0.0</v>
      </c>
      <c r="E249" s="7" t="s">
        <v>12</v>
      </c>
      <c r="F249" s="7" t="s">
        <v>14</v>
      </c>
      <c r="G249" s="7">
        <v>24476.47851</v>
      </c>
      <c r="H249" s="3"/>
    </row>
    <row r="250" ht="14.25" customHeight="1">
      <c r="A250" s="7">
        <v>60.0</v>
      </c>
      <c r="B250" s="7" t="s">
        <v>8</v>
      </c>
      <c r="C250" s="7">
        <v>38.06</v>
      </c>
      <c r="D250" s="7">
        <v>0.0</v>
      </c>
      <c r="E250" s="7" t="s">
        <v>12</v>
      </c>
      <c r="F250" s="7" t="s">
        <v>13</v>
      </c>
      <c r="G250" s="7">
        <v>12648.7034</v>
      </c>
      <c r="H250" s="3"/>
    </row>
    <row r="251" ht="14.25" customHeight="1">
      <c r="A251" s="7">
        <v>24.0</v>
      </c>
      <c r="B251" s="7" t="s">
        <v>11</v>
      </c>
      <c r="C251" s="7">
        <v>35.86</v>
      </c>
      <c r="D251" s="7">
        <v>0.0</v>
      </c>
      <c r="E251" s="7" t="s">
        <v>12</v>
      </c>
      <c r="F251" s="7" t="s">
        <v>13</v>
      </c>
      <c r="G251" s="7">
        <v>1986.9334</v>
      </c>
      <c r="H251" s="3"/>
    </row>
    <row r="252" ht="14.25" customHeight="1">
      <c r="A252" s="7">
        <v>19.0</v>
      </c>
      <c r="B252" s="7" t="s">
        <v>11</v>
      </c>
      <c r="C252" s="7">
        <v>20.9</v>
      </c>
      <c r="D252" s="7">
        <v>1.0</v>
      </c>
      <c r="E252" s="7" t="s">
        <v>12</v>
      </c>
      <c r="F252" s="7" t="s">
        <v>10</v>
      </c>
      <c r="G252" s="7">
        <v>1832.094</v>
      </c>
      <c r="H252" s="3"/>
    </row>
    <row r="253" ht="14.25" customHeight="1">
      <c r="A253" s="7">
        <v>29.0</v>
      </c>
      <c r="B253" s="7" t="s">
        <v>11</v>
      </c>
      <c r="C253" s="7">
        <v>28.975</v>
      </c>
      <c r="D253" s="7">
        <v>1.0</v>
      </c>
      <c r="E253" s="7" t="s">
        <v>12</v>
      </c>
      <c r="F253" s="7" t="s">
        <v>15</v>
      </c>
      <c r="G253" s="7">
        <v>4040.55825</v>
      </c>
      <c r="H253" s="3"/>
    </row>
    <row r="254" ht="14.25" customHeight="1">
      <c r="A254" s="7">
        <v>18.0</v>
      </c>
      <c r="B254" s="7" t="s">
        <v>11</v>
      </c>
      <c r="C254" s="7">
        <v>17.29</v>
      </c>
      <c r="D254" s="7">
        <v>2.0</v>
      </c>
      <c r="E254" s="7" t="s">
        <v>9</v>
      </c>
      <c r="F254" s="7" t="s">
        <v>15</v>
      </c>
      <c r="G254" s="7">
        <v>12829.4551</v>
      </c>
      <c r="H254" s="3"/>
    </row>
    <row r="255" ht="14.25" customHeight="1">
      <c r="A255" s="7">
        <v>63.0</v>
      </c>
      <c r="B255" s="7" t="s">
        <v>8</v>
      </c>
      <c r="C255" s="7">
        <v>32.2</v>
      </c>
      <c r="D255" s="7">
        <v>2.0</v>
      </c>
      <c r="E255" s="7" t="s">
        <v>9</v>
      </c>
      <c r="F255" s="7" t="s">
        <v>10</v>
      </c>
      <c r="G255" s="7">
        <v>47305.305</v>
      </c>
      <c r="H255" s="3"/>
    </row>
    <row r="256" ht="14.25" customHeight="1">
      <c r="A256" s="7">
        <v>54.0</v>
      </c>
      <c r="B256" s="7" t="s">
        <v>11</v>
      </c>
      <c r="C256" s="7">
        <v>34.21</v>
      </c>
      <c r="D256" s="7">
        <v>2.0</v>
      </c>
      <c r="E256" s="7" t="s">
        <v>9</v>
      </c>
      <c r="F256" s="7" t="s">
        <v>13</v>
      </c>
      <c r="G256" s="7">
        <v>44260.7499</v>
      </c>
      <c r="H256" s="3"/>
    </row>
    <row r="257" ht="14.25" customHeight="1">
      <c r="A257" s="7">
        <v>27.0</v>
      </c>
      <c r="B257" s="7" t="s">
        <v>11</v>
      </c>
      <c r="C257" s="7">
        <v>30.3</v>
      </c>
      <c r="D257" s="7">
        <v>3.0</v>
      </c>
      <c r="E257" s="7" t="s">
        <v>12</v>
      </c>
      <c r="F257" s="7" t="s">
        <v>10</v>
      </c>
      <c r="G257" s="7">
        <v>4260.744</v>
      </c>
      <c r="H257" s="3"/>
    </row>
    <row r="258" ht="14.25" customHeight="1">
      <c r="A258" s="7">
        <v>50.0</v>
      </c>
      <c r="B258" s="7" t="s">
        <v>11</v>
      </c>
      <c r="C258" s="7">
        <v>31.825</v>
      </c>
      <c r="D258" s="7">
        <v>0.0</v>
      </c>
      <c r="E258" s="7" t="s">
        <v>9</v>
      </c>
      <c r="F258" s="7" t="s">
        <v>15</v>
      </c>
      <c r="G258" s="7">
        <v>41097.16175</v>
      </c>
      <c r="H258" s="3"/>
    </row>
    <row r="259" ht="14.25" customHeight="1">
      <c r="A259" s="7">
        <v>55.0</v>
      </c>
      <c r="B259" s="7" t="s">
        <v>8</v>
      </c>
      <c r="C259" s="7">
        <v>25.365</v>
      </c>
      <c r="D259" s="7">
        <v>3.0</v>
      </c>
      <c r="E259" s="7" t="s">
        <v>12</v>
      </c>
      <c r="F259" s="7" t="s">
        <v>15</v>
      </c>
      <c r="G259" s="7">
        <v>13047.33235</v>
      </c>
      <c r="H259" s="3"/>
    </row>
    <row r="260" ht="14.25" customHeight="1">
      <c r="A260" s="7">
        <v>56.0</v>
      </c>
      <c r="B260" s="7" t="s">
        <v>11</v>
      </c>
      <c r="C260" s="7">
        <v>33.63</v>
      </c>
      <c r="D260" s="7">
        <v>0.0</v>
      </c>
      <c r="E260" s="7" t="s">
        <v>9</v>
      </c>
      <c r="F260" s="7" t="s">
        <v>14</v>
      </c>
      <c r="G260" s="7">
        <v>43921.1837</v>
      </c>
      <c r="H260" s="3"/>
    </row>
    <row r="261" ht="14.25" customHeight="1">
      <c r="A261" s="7">
        <v>38.0</v>
      </c>
      <c r="B261" s="7" t="s">
        <v>8</v>
      </c>
      <c r="C261" s="7">
        <v>40.15</v>
      </c>
      <c r="D261" s="7">
        <v>0.0</v>
      </c>
      <c r="E261" s="7" t="s">
        <v>12</v>
      </c>
      <c r="F261" s="7" t="s">
        <v>13</v>
      </c>
      <c r="G261" s="7">
        <v>5400.9805</v>
      </c>
      <c r="H261" s="3"/>
    </row>
    <row r="262" ht="14.25" customHeight="1">
      <c r="A262" s="7">
        <v>51.0</v>
      </c>
      <c r="B262" s="7" t="s">
        <v>11</v>
      </c>
      <c r="C262" s="7">
        <v>24.415</v>
      </c>
      <c r="D262" s="7">
        <v>4.0</v>
      </c>
      <c r="E262" s="7" t="s">
        <v>12</v>
      </c>
      <c r="F262" s="7" t="s">
        <v>14</v>
      </c>
      <c r="G262" s="7">
        <v>11520.09985</v>
      </c>
      <c r="H262" s="3"/>
    </row>
    <row r="263" ht="14.25" customHeight="1">
      <c r="A263" s="7">
        <v>19.0</v>
      </c>
      <c r="B263" s="7" t="s">
        <v>11</v>
      </c>
      <c r="C263" s="7">
        <v>31.92</v>
      </c>
      <c r="D263" s="7">
        <v>0.0</v>
      </c>
      <c r="E263" s="7" t="s">
        <v>9</v>
      </c>
      <c r="F263" s="7" t="s">
        <v>14</v>
      </c>
      <c r="G263" s="7">
        <v>33750.2918</v>
      </c>
      <c r="H263" s="3"/>
    </row>
    <row r="264" ht="14.25" customHeight="1">
      <c r="A264" s="7">
        <v>58.0</v>
      </c>
      <c r="B264" s="7" t="s">
        <v>8</v>
      </c>
      <c r="C264" s="7">
        <v>25.2</v>
      </c>
      <c r="D264" s="7">
        <v>0.0</v>
      </c>
      <c r="E264" s="7" t="s">
        <v>12</v>
      </c>
      <c r="F264" s="7" t="s">
        <v>10</v>
      </c>
      <c r="G264" s="7">
        <v>11837.16</v>
      </c>
      <c r="H264" s="3"/>
    </row>
    <row r="265" ht="14.25" customHeight="1">
      <c r="A265" s="7">
        <v>20.0</v>
      </c>
      <c r="B265" s="7" t="s">
        <v>8</v>
      </c>
      <c r="C265" s="7">
        <v>26.84</v>
      </c>
      <c r="D265" s="7">
        <v>1.0</v>
      </c>
      <c r="E265" s="7" t="s">
        <v>9</v>
      </c>
      <c r="F265" s="7" t="s">
        <v>13</v>
      </c>
      <c r="G265" s="7">
        <v>17085.2676</v>
      </c>
      <c r="H265" s="3"/>
    </row>
    <row r="266" ht="14.25" customHeight="1">
      <c r="A266" s="7">
        <v>52.0</v>
      </c>
      <c r="B266" s="7" t="s">
        <v>11</v>
      </c>
      <c r="C266" s="7">
        <v>24.32</v>
      </c>
      <c r="D266" s="7">
        <v>3.0</v>
      </c>
      <c r="E266" s="7" t="s">
        <v>9</v>
      </c>
      <c r="F266" s="7" t="s">
        <v>15</v>
      </c>
      <c r="G266" s="7">
        <v>24869.8368</v>
      </c>
      <c r="H266" s="3"/>
    </row>
    <row r="267" ht="14.25" customHeight="1">
      <c r="A267" s="7">
        <v>19.0</v>
      </c>
      <c r="B267" s="7" t="s">
        <v>11</v>
      </c>
      <c r="C267" s="7">
        <v>36.955</v>
      </c>
      <c r="D267" s="7">
        <v>0.0</v>
      </c>
      <c r="E267" s="7" t="s">
        <v>9</v>
      </c>
      <c r="F267" s="7" t="s">
        <v>14</v>
      </c>
      <c r="G267" s="7">
        <v>36219.40545</v>
      </c>
      <c r="H267" s="3"/>
    </row>
    <row r="268" ht="14.25" customHeight="1">
      <c r="A268" s="7">
        <v>53.0</v>
      </c>
      <c r="B268" s="7" t="s">
        <v>8</v>
      </c>
      <c r="C268" s="7">
        <v>38.06</v>
      </c>
      <c r="D268" s="7">
        <v>3.0</v>
      </c>
      <c r="E268" s="7" t="s">
        <v>12</v>
      </c>
      <c r="F268" s="7" t="s">
        <v>13</v>
      </c>
      <c r="G268" s="7">
        <v>20462.99766</v>
      </c>
      <c r="H268" s="3"/>
    </row>
    <row r="269" ht="14.25" customHeight="1">
      <c r="A269" s="7">
        <v>46.0</v>
      </c>
      <c r="B269" s="7" t="s">
        <v>11</v>
      </c>
      <c r="C269" s="7">
        <v>42.35</v>
      </c>
      <c r="D269" s="7">
        <v>3.0</v>
      </c>
      <c r="E269" s="7" t="s">
        <v>9</v>
      </c>
      <c r="F269" s="7" t="s">
        <v>13</v>
      </c>
      <c r="G269" s="7">
        <v>46151.1245</v>
      </c>
      <c r="H269" s="3"/>
    </row>
    <row r="270" ht="14.25" customHeight="1">
      <c r="A270" s="7">
        <v>40.0</v>
      </c>
      <c r="B270" s="7" t="s">
        <v>11</v>
      </c>
      <c r="C270" s="7">
        <v>19.8</v>
      </c>
      <c r="D270" s="7">
        <v>1.0</v>
      </c>
      <c r="E270" s="7" t="s">
        <v>9</v>
      </c>
      <c r="F270" s="7" t="s">
        <v>13</v>
      </c>
      <c r="G270" s="7">
        <v>17179.522</v>
      </c>
      <c r="H270" s="3"/>
    </row>
    <row r="271" ht="14.25" customHeight="1">
      <c r="A271" s="7">
        <v>59.0</v>
      </c>
      <c r="B271" s="7" t="s">
        <v>8</v>
      </c>
      <c r="C271" s="7">
        <v>32.395</v>
      </c>
      <c r="D271" s="7">
        <v>3.0</v>
      </c>
      <c r="E271" s="7" t="s">
        <v>12</v>
      </c>
      <c r="F271" s="7" t="s">
        <v>15</v>
      </c>
      <c r="G271" s="7">
        <v>14590.63205</v>
      </c>
      <c r="H271" s="3"/>
    </row>
    <row r="272" ht="14.25" customHeight="1">
      <c r="A272" s="7">
        <v>45.0</v>
      </c>
      <c r="B272" s="7" t="s">
        <v>11</v>
      </c>
      <c r="C272" s="7">
        <v>30.2</v>
      </c>
      <c r="D272" s="7">
        <v>1.0</v>
      </c>
      <c r="E272" s="7" t="s">
        <v>12</v>
      </c>
      <c r="F272" s="7" t="s">
        <v>10</v>
      </c>
      <c r="G272" s="7">
        <v>7441.053</v>
      </c>
      <c r="H272" s="3"/>
    </row>
    <row r="273" ht="14.25" customHeight="1">
      <c r="A273" s="7">
        <v>49.0</v>
      </c>
      <c r="B273" s="7" t="s">
        <v>11</v>
      </c>
      <c r="C273" s="7">
        <v>25.84</v>
      </c>
      <c r="D273" s="7">
        <v>1.0</v>
      </c>
      <c r="E273" s="7" t="s">
        <v>12</v>
      </c>
      <c r="F273" s="7" t="s">
        <v>15</v>
      </c>
      <c r="G273" s="7">
        <v>9282.4806</v>
      </c>
      <c r="H273" s="3"/>
    </row>
    <row r="274" ht="14.25" customHeight="1">
      <c r="A274" s="7">
        <v>18.0</v>
      </c>
      <c r="B274" s="7" t="s">
        <v>11</v>
      </c>
      <c r="C274" s="7">
        <v>29.37</v>
      </c>
      <c r="D274" s="7">
        <v>1.0</v>
      </c>
      <c r="E274" s="7" t="s">
        <v>12</v>
      </c>
      <c r="F274" s="7" t="s">
        <v>13</v>
      </c>
      <c r="G274" s="7">
        <v>1719.4363</v>
      </c>
      <c r="H274" s="3"/>
    </row>
    <row r="275" ht="14.25" customHeight="1">
      <c r="A275" s="7">
        <v>50.0</v>
      </c>
      <c r="B275" s="7" t="s">
        <v>11</v>
      </c>
      <c r="C275" s="7">
        <v>34.2</v>
      </c>
      <c r="D275" s="7">
        <v>2.0</v>
      </c>
      <c r="E275" s="7" t="s">
        <v>9</v>
      </c>
      <c r="F275" s="7" t="s">
        <v>10</v>
      </c>
      <c r="G275" s="7">
        <v>42856.838</v>
      </c>
      <c r="H275" s="3"/>
    </row>
    <row r="276" ht="14.25" customHeight="1">
      <c r="A276" s="7">
        <v>41.0</v>
      </c>
      <c r="B276" s="7" t="s">
        <v>11</v>
      </c>
      <c r="C276" s="7">
        <v>37.05</v>
      </c>
      <c r="D276" s="7">
        <v>2.0</v>
      </c>
      <c r="E276" s="7" t="s">
        <v>12</v>
      </c>
      <c r="F276" s="7" t="s">
        <v>14</v>
      </c>
      <c r="G276" s="7">
        <v>7265.7025</v>
      </c>
      <c r="H276" s="3"/>
    </row>
    <row r="277" ht="14.25" customHeight="1">
      <c r="A277" s="7">
        <v>50.0</v>
      </c>
      <c r="B277" s="7" t="s">
        <v>11</v>
      </c>
      <c r="C277" s="7">
        <v>27.455</v>
      </c>
      <c r="D277" s="7">
        <v>1.0</v>
      </c>
      <c r="E277" s="7" t="s">
        <v>12</v>
      </c>
      <c r="F277" s="7" t="s">
        <v>15</v>
      </c>
      <c r="G277" s="7">
        <v>9617.66245</v>
      </c>
      <c r="H277" s="3"/>
    </row>
    <row r="278" ht="14.25" customHeight="1">
      <c r="A278" s="7">
        <v>25.0</v>
      </c>
      <c r="B278" s="7" t="s">
        <v>11</v>
      </c>
      <c r="C278" s="7">
        <v>27.55</v>
      </c>
      <c r="D278" s="7">
        <v>0.0</v>
      </c>
      <c r="E278" s="7" t="s">
        <v>12</v>
      </c>
      <c r="F278" s="7" t="s">
        <v>14</v>
      </c>
      <c r="G278" s="7">
        <v>2523.1695</v>
      </c>
      <c r="H278" s="3"/>
    </row>
    <row r="279" ht="14.25" customHeight="1">
      <c r="A279" s="7">
        <v>47.0</v>
      </c>
      <c r="B279" s="7" t="s">
        <v>8</v>
      </c>
      <c r="C279" s="7">
        <v>26.6</v>
      </c>
      <c r="D279" s="7">
        <v>2.0</v>
      </c>
      <c r="E279" s="7" t="s">
        <v>12</v>
      </c>
      <c r="F279" s="7" t="s">
        <v>15</v>
      </c>
      <c r="G279" s="7">
        <v>9715.841</v>
      </c>
      <c r="H279" s="3"/>
    </row>
    <row r="280" ht="14.25" customHeight="1">
      <c r="A280" s="7">
        <v>19.0</v>
      </c>
      <c r="B280" s="7" t="s">
        <v>11</v>
      </c>
      <c r="C280" s="7">
        <v>20.615</v>
      </c>
      <c r="D280" s="7">
        <v>2.0</v>
      </c>
      <c r="E280" s="7" t="s">
        <v>12</v>
      </c>
      <c r="F280" s="7" t="s">
        <v>14</v>
      </c>
      <c r="G280" s="7">
        <v>2803.69785</v>
      </c>
      <c r="H280" s="3"/>
    </row>
    <row r="281" ht="14.25" customHeight="1">
      <c r="A281" s="7">
        <v>22.0</v>
      </c>
      <c r="B281" s="7" t="s">
        <v>8</v>
      </c>
      <c r="C281" s="7">
        <v>24.3</v>
      </c>
      <c r="D281" s="7">
        <v>0.0</v>
      </c>
      <c r="E281" s="7" t="s">
        <v>12</v>
      </c>
      <c r="F281" s="7" t="s">
        <v>10</v>
      </c>
      <c r="G281" s="7">
        <v>2150.469</v>
      </c>
      <c r="H281" s="3"/>
    </row>
    <row r="282" ht="14.25" customHeight="1">
      <c r="A282" s="7">
        <v>59.0</v>
      </c>
      <c r="B282" s="7" t="s">
        <v>11</v>
      </c>
      <c r="C282" s="7">
        <v>31.79</v>
      </c>
      <c r="D282" s="7">
        <v>2.0</v>
      </c>
      <c r="E282" s="7" t="s">
        <v>12</v>
      </c>
      <c r="F282" s="7" t="s">
        <v>13</v>
      </c>
      <c r="G282" s="7">
        <v>12928.7911</v>
      </c>
      <c r="H282" s="3"/>
    </row>
    <row r="283" ht="14.25" customHeight="1">
      <c r="A283" s="7">
        <v>51.0</v>
      </c>
      <c r="B283" s="7" t="s">
        <v>8</v>
      </c>
      <c r="C283" s="7">
        <v>21.56</v>
      </c>
      <c r="D283" s="7">
        <v>1.0</v>
      </c>
      <c r="E283" s="7" t="s">
        <v>12</v>
      </c>
      <c r="F283" s="7" t="s">
        <v>13</v>
      </c>
      <c r="G283" s="7">
        <v>9855.1314</v>
      </c>
      <c r="H283" s="3"/>
    </row>
    <row r="284" ht="14.25" customHeight="1">
      <c r="A284" s="7">
        <v>40.0</v>
      </c>
      <c r="B284" s="7" t="s">
        <v>8</v>
      </c>
      <c r="C284" s="7">
        <v>28.12</v>
      </c>
      <c r="D284" s="7">
        <v>1.0</v>
      </c>
      <c r="E284" s="7" t="s">
        <v>9</v>
      </c>
      <c r="F284" s="7" t="s">
        <v>15</v>
      </c>
      <c r="G284" s="7">
        <v>22331.5668</v>
      </c>
      <c r="H284" s="3"/>
    </row>
    <row r="285" ht="14.25" customHeight="1">
      <c r="A285" s="7">
        <v>54.0</v>
      </c>
      <c r="B285" s="7" t="s">
        <v>11</v>
      </c>
      <c r="C285" s="7">
        <v>40.565</v>
      </c>
      <c r="D285" s="7">
        <v>3.0</v>
      </c>
      <c r="E285" s="7" t="s">
        <v>9</v>
      </c>
      <c r="F285" s="7" t="s">
        <v>15</v>
      </c>
      <c r="G285" s="7">
        <v>48549.17835</v>
      </c>
      <c r="H285" s="3"/>
    </row>
    <row r="286" ht="14.25" customHeight="1">
      <c r="A286" s="7">
        <v>30.0</v>
      </c>
      <c r="B286" s="7" t="s">
        <v>11</v>
      </c>
      <c r="C286" s="7">
        <v>27.645</v>
      </c>
      <c r="D286" s="7">
        <v>1.0</v>
      </c>
      <c r="E286" s="7" t="s">
        <v>12</v>
      </c>
      <c r="F286" s="7" t="s">
        <v>15</v>
      </c>
      <c r="G286" s="7">
        <v>4237.12655</v>
      </c>
      <c r="H286" s="3"/>
    </row>
    <row r="287" ht="14.25" customHeight="1">
      <c r="A287" s="7">
        <v>55.0</v>
      </c>
      <c r="B287" s="7" t="s">
        <v>8</v>
      </c>
      <c r="C287" s="7">
        <v>32.395</v>
      </c>
      <c r="D287" s="7">
        <v>1.0</v>
      </c>
      <c r="E287" s="7" t="s">
        <v>12</v>
      </c>
      <c r="F287" s="7" t="s">
        <v>15</v>
      </c>
      <c r="G287" s="7">
        <v>11879.10405</v>
      </c>
      <c r="H287" s="3"/>
    </row>
    <row r="288" ht="14.25" customHeight="1">
      <c r="A288" s="7">
        <v>52.0</v>
      </c>
      <c r="B288" s="7" t="s">
        <v>8</v>
      </c>
      <c r="C288" s="7">
        <v>31.2</v>
      </c>
      <c r="D288" s="7">
        <v>0.0</v>
      </c>
      <c r="E288" s="7" t="s">
        <v>12</v>
      </c>
      <c r="F288" s="7" t="s">
        <v>10</v>
      </c>
      <c r="G288" s="7">
        <v>9625.92</v>
      </c>
      <c r="H288" s="3"/>
    </row>
    <row r="289" ht="14.25" customHeight="1">
      <c r="A289" s="7">
        <v>46.0</v>
      </c>
      <c r="B289" s="7" t="s">
        <v>11</v>
      </c>
      <c r="C289" s="7">
        <v>26.62</v>
      </c>
      <c r="D289" s="7">
        <v>1.0</v>
      </c>
      <c r="E289" s="7" t="s">
        <v>12</v>
      </c>
      <c r="F289" s="7" t="s">
        <v>13</v>
      </c>
      <c r="G289" s="7">
        <v>7742.1098</v>
      </c>
      <c r="H289" s="3"/>
    </row>
    <row r="290" ht="14.25" customHeight="1">
      <c r="A290" s="7">
        <v>46.0</v>
      </c>
      <c r="B290" s="7" t="s">
        <v>8</v>
      </c>
      <c r="C290" s="7">
        <v>48.07</v>
      </c>
      <c r="D290" s="7">
        <v>2.0</v>
      </c>
      <c r="E290" s="7" t="s">
        <v>12</v>
      </c>
      <c r="F290" s="7" t="s">
        <v>15</v>
      </c>
      <c r="G290" s="7">
        <v>9432.9253</v>
      </c>
      <c r="H290" s="3"/>
    </row>
    <row r="291" ht="14.25" customHeight="1">
      <c r="A291" s="7">
        <v>63.0</v>
      </c>
      <c r="B291" s="7" t="s">
        <v>8</v>
      </c>
      <c r="C291" s="7">
        <v>26.22</v>
      </c>
      <c r="D291" s="7">
        <v>0.0</v>
      </c>
      <c r="E291" s="7" t="s">
        <v>12</v>
      </c>
      <c r="F291" s="7" t="s">
        <v>14</v>
      </c>
      <c r="G291" s="7">
        <v>14256.1928</v>
      </c>
      <c r="H291" s="3"/>
    </row>
    <row r="292" ht="14.25" customHeight="1">
      <c r="A292" s="7">
        <v>59.0</v>
      </c>
      <c r="B292" s="7" t="s">
        <v>8</v>
      </c>
      <c r="C292" s="7">
        <v>36.765</v>
      </c>
      <c r="D292" s="7">
        <v>1.0</v>
      </c>
      <c r="E292" s="7" t="s">
        <v>9</v>
      </c>
      <c r="F292" s="7" t="s">
        <v>15</v>
      </c>
      <c r="G292" s="7">
        <v>47896.79135</v>
      </c>
      <c r="H292" s="3"/>
    </row>
    <row r="293" ht="14.25" customHeight="1">
      <c r="A293" s="7">
        <v>52.0</v>
      </c>
      <c r="B293" s="7" t="s">
        <v>11</v>
      </c>
      <c r="C293" s="7">
        <v>26.4</v>
      </c>
      <c r="D293" s="7">
        <v>3.0</v>
      </c>
      <c r="E293" s="7" t="s">
        <v>12</v>
      </c>
      <c r="F293" s="7" t="s">
        <v>13</v>
      </c>
      <c r="G293" s="7">
        <v>25992.82104</v>
      </c>
      <c r="H293" s="3"/>
    </row>
    <row r="294" ht="14.25" customHeight="1">
      <c r="A294" s="7">
        <v>28.0</v>
      </c>
      <c r="B294" s="7" t="s">
        <v>8</v>
      </c>
      <c r="C294" s="7">
        <v>33.4</v>
      </c>
      <c r="D294" s="7">
        <v>0.0</v>
      </c>
      <c r="E294" s="7" t="s">
        <v>12</v>
      </c>
      <c r="F294" s="7" t="s">
        <v>10</v>
      </c>
      <c r="G294" s="7">
        <v>3172.018</v>
      </c>
      <c r="H294" s="3"/>
    </row>
    <row r="295" ht="14.25" customHeight="1">
      <c r="A295" s="7">
        <v>29.0</v>
      </c>
      <c r="B295" s="7" t="s">
        <v>11</v>
      </c>
      <c r="C295" s="7">
        <v>29.64</v>
      </c>
      <c r="D295" s="7">
        <v>1.0</v>
      </c>
      <c r="E295" s="7" t="s">
        <v>12</v>
      </c>
      <c r="F295" s="7" t="s">
        <v>15</v>
      </c>
      <c r="G295" s="7">
        <v>20277.80751</v>
      </c>
      <c r="H295" s="3"/>
    </row>
    <row r="296" ht="14.25" customHeight="1">
      <c r="A296" s="7">
        <v>25.0</v>
      </c>
      <c r="B296" s="7" t="s">
        <v>11</v>
      </c>
      <c r="C296" s="7">
        <v>45.54</v>
      </c>
      <c r="D296" s="7">
        <v>2.0</v>
      </c>
      <c r="E296" s="7" t="s">
        <v>9</v>
      </c>
      <c r="F296" s="7" t="s">
        <v>13</v>
      </c>
      <c r="G296" s="7">
        <v>42112.2356</v>
      </c>
      <c r="H296" s="3"/>
    </row>
    <row r="297" ht="14.25" customHeight="1">
      <c r="A297" s="7">
        <v>22.0</v>
      </c>
      <c r="B297" s="7" t="s">
        <v>8</v>
      </c>
      <c r="C297" s="7">
        <v>28.82</v>
      </c>
      <c r="D297" s="7">
        <v>0.0</v>
      </c>
      <c r="E297" s="7" t="s">
        <v>12</v>
      </c>
      <c r="F297" s="7" t="s">
        <v>13</v>
      </c>
      <c r="G297" s="7">
        <v>2156.7518</v>
      </c>
      <c r="H297" s="3"/>
    </row>
    <row r="298" ht="14.25" customHeight="1">
      <c r="A298" s="7">
        <v>25.0</v>
      </c>
      <c r="B298" s="7" t="s">
        <v>11</v>
      </c>
      <c r="C298" s="7">
        <v>26.8</v>
      </c>
      <c r="D298" s="7">
        <v>3.0</v>
      </c>
      <c r="E298" s="7" t="s">
        <v>12</v>
      </c>
      <c r="F298" s="7" t="s">
        <v>10</v>
      </c>
      <c r="G298" s="7">
        <v>3906.127</v>
      </c>
      <c r="H298" s="3"/>
    </row>
    <row r="299" ht="14.25" customHeight="1">
      <c r="A299" s="7">
        <v>18.0</v>
      </c>
      <c r="B299" s="7" t="s">
        <v>11</v>
      </c>
      <c r="C299" s="7">
        <v>22.99</v>
      </c>
      <c r="D299" s="7">
        <v>0.0</v>
      </c>
      <c r="E299" s="7" t="s">
        <v>12</v>
      </c>
      <c r="F299" s="7" t="s">
        <v>15</v>
      </c>
      <c r="G299" s="7">
        <v>1704.5681</v>
      </c>
      <c r="H299" s="3"/>
    </row>
    <row r="300" ht="14.25" customHeight="1">
      <c r="A300" s="7">
        <v>19.0</v>
      </c>
      <c r="B300" s="7" t="s">
        <v>11</v>
      </c>
      <c r="C300" s="7">
        <v>27.7</v>
      </c>
      <c r="D300" s="7">
        <v>0.0</v>
      </c>
      <c r="E300" s="7" t="s">
        <v>9</v>
      </c>
      <c r="F300" s="7" t="s">
        <v>10</v>
      </c>
      <c r="G300" s="7">
        <v>16297.846</v>
      </c>
      <c r="H300" s="3"/>
    </row>
    <row r="301" ht="14.25" customHeight="1">
      <c r="A301" s="7">
        <v>47.0</v>
      </c>
      <c r="B301" s="7" t="s">
        <v>11</v>
      </c>
      <c r="C301" s="7">
        <v>25.41</v>
      </c>
      <c r="D301" s="7">
        <v>1.0</v>
      </c>
      <c r="E301" s="7" t="s">
        <v>9</v>
      </c>
      <c r="F301" s="7" t="s">
        <v>13</v>
      </c>
      <c r="G301" s="7">
        <v>21978.6769</v>
      </c>
      <c r="H301" s="3"/>
    </row>
    <row r="302" ht="14.25" customHeight="1">
      <c r="A302" s="7">
        <v>31.0</v>
      </c>
      <c r="B302" s="7" t="s">
        <v>11</v>
      </c>
      <c r="C302" s="7">
        <v>34.39</v>
      </c>
      <c r="D302" s="7">
        <v>3.0</v>
      </c>
      <c r="E302" s="7" t="s">
        <v>9</v>
      </c>
      <c r="F302" s="7" t="s">
        <v>14</v>
      </c>
      <c r="G302" s="7">
        <v>38746.3551</v>
      </c>
      <c r="H302" s="3"/>
    </row>
    <row r="303" ht="14.25" customHeight="1">
      <c r="A303" s="7">
        <v>48.0</v>
      </c>
      <c r="B303" s="7" t="s">
        <v>8</v>
      </c>
      <c r="C303" s="7">
        <v>28.88</v>
      </c>
      <c r="D303" s="7">
        <v>1.0</v>
      </c>
      <c r="E303" s="7" t="s">
        <v>12</v>
      </c>
      <c r="F303" s="7" t="s">
        <v>14</v>
      </c>
      <c r="G303" s="7">
        <v>9249.4952</v>
      </c>
      <c r="H303" s="3"/>
    </row>
    <row r="304" ht="14.25" customHeight="1">
      <c r="A304" s="7">
        <v>36.0</v>
      </c>
      <c r="B304" s="7" t="s">
        <v>11</v>
      </c>
      <c r="C304" s="7">
        <v>27.55</v>
      </c>
      <c r="D304" s="7">
        <v>3.0</v>
      </c>
      <c r="E304" s="7" t="s">
        <v>12</v>
      </c>
      <c r="F304" s="7" t="s">
        <v>15</v>
      </c>
      <c r="G304" s="7">
        <v>6746.7425</v>
      </c>
      <c r="H304" s="3"/>
    </row>
    <row r="305" ht="14.25" customHeight="1">
      <c r="A305" s="7">
        <v>53.0</v>
      </c>
      <c r="B305" s="7" t="s">
        <v>8</v>
      </c>
      <c r="C305" s="7">
        <v>22.61</v>
      </c>
      <c r="D305" s="7">
        <v>3.0</v>
      </c>
      <c r="E305" s="7" t="s">
        <v>9</v>
      </c>
      <c r="F305" s="7" t="s">
        <v>15</v>
      </c>
      <c r="G305" s="7">
        <v>24873.3849</v>
      </c>
      <c r="H305" s="3"/>
    </row>
    <row r="306" ht="14.25" customHeight="1">
      <c r="A306" s="7">
        <v>56.0</v>
      </c>
      <c r="B306" s="7" t="s">
        <v>8</v>
      </c>
      <c r="C306" s="7">
        <v>37.51</v>
      </c>
      <c r="D306" s="7">
        <v>2.0</v>
      </c>
      <c r="E306" s="7" t="s">
        <v>12</v>
      </c>
      <c r="F306" s="7" t="s">
        <v>13</v>
      </c>
      <c r="G306" s="7">
        <v>12265.5069</v>
      </c>
      <c r="H306" s="3"/>
    </row>
    <row r="307" ht="14.25" customHeight="1">
      <c r="A307" s="7">
        <v>28.0</v>
      </c>
      <c r="B307" s="7" t="s">
        <v>8</v>
      </c>
      <c r="C307" s="7">
        <v>33.0</v>
      </c>
      <c r="D307" s="7">
        <v>2.0</v>
      </c>
      <c r="E307" s="7" t="s">
        <v>12</v>
      </c>
      <c r="F307" s="7" t="s">
        <v>13</v>
      </c>
      <c r="G307" s="7">
        <v>4349.462</v>
      </c>
      <c r="H307" s="3"/>
    </row>
    <row r="308" ht="14.25" customHeight="1">
      <c r="A308" s="7">
        <v>57.0</v>
      </c>
      <c r="B308" s="7" t="s">
        <v>8</v>
      </c>
      <c r="C308" s="7">
        <v>38.0</v>
      </c>
      <c r="D308" s="7">
        <v>2.0</v>
      </c>
      <c r="E308" s="7" t="s">
        <v>12</v>
      </c>
      <c r="F308" s="7" t="s">
        <v>10</v>
      </c>
      <c r="G308" s="7">
        <v>12646.207</v>
      </c>
      <c r="H308" s="3"/>
    </row>
    <row r="309" ht="14.25" customHeight="1">
      <c r="A309" s="7">
        <v>29.0</v>
      </c>
      <c r="B309" s="7" t="s">
        <v>11</v>
      </c>
      <c r="C309" s="7">
        <v>33.345</v>
      </c>
      <c r="D309" s="7">
        <v>2.0</v>
      </c>
      <c r="E309" s="7" t="s">
        <v>12</v>
      </c>
      <c r="F309" s="7" t="s">
        <v>14</v>
      </c>
      <c r="G309" s="7">
        <v>19442.3535</v>
      </c>
      <c r="H309" s="3"/>
    </row>
    <row r="310" ht="14.25" customHeight="1">
      <c r="A310" s="7">
        <v>28.0</v>
      </c>
      <c r="B310" s="7" t="s">
        <v>8</v>
      </c>
      <c r="C310" s="7">
        <v>27.5</v>
      </c>
      <c r="D310" s="7">
        <v>2.0</v>
      </c>
      <c r="E310" s="7" t="s">
        <v>12</v>
      </c>
      <c r="F310" s="7" t="s">
        <v>10</v>
      </c>
      <c r="G310" s="7">
        <v>20177.67113</v>
      </c>
      <c r="H310" s="3"/>
    </row>
    <row r="311" ht="14.25" customHeight="1">
      <c r="A311" s="7">
        <v>30.0</v>
      </c>
      <c r="B311" s="7" t="s">
        <v>8</v>
      </c>
      <c r="C311" s="7">
        <v>33.33</v>
      </c>
      <c r="D311" s="7">
        <v>1.0</v>
      </c>
      <c r="E311" s="7" t="s">
        <v>12</v>
      </c>
      <c r="F311" s="7" t="s">
        <v>13</v>
      </c>
      <c r="G311" s="7">
        <v>4151.0287</v>
      </c>
      <c r="H311" s="3"/>
    </row>
    <row r="312" ht="14.25" customHeight="1">
      <c r="A312" s="7">
        <v>58.0</v>
      </c>
      <c r="B312" s="7" t="s">
        <v>11</v>
      </c>
      <c r="C312" s="7">
        <v>34.865</v>
      </c>
      <c r="D312" s="7">
        <v>0.0</v>
      </c>
      <c r="E312" s="7" t="s">
        <v>12</v>
      </c>
      <c r="F312" s="7" t="s">
        <v>15</v>
      </c>
      <c r="G312" s="7">
        <v>11944.59435</v>
      </c>
      <c r="H312" s="3"/>
    </row>
    <row r="313" ht="14.25" customHeight="1">
      <c r="A313" s="7">
        <v>41.0</v>
      </c>
      <c r="B313" s="7" t="s">
        <v>8</v>
      </c>
      <c r="C313" s="7">
        <v>33.06</v>
      </c>
      <c r="D313" s="7">
        <v>2.0</v>
      </c>
      <c r="E313" s="7" t="s">
        <v>12</v>
      </c>
      <c r="F313" s="7" t="s">
        <v>14</v>
      </c>
      <c r="G313" s="7">
        <v>7749.1564</v>
      </c>
      <c r="H313" s="3"/>
    </row>
    <row r="314" ht="14.25" customHeight="1">
      <c r="A314" s="7">
        <v>50.0</v>
      </c>
      <c r="B314" s="7" t="s">
        <v>11</v>
      </c>
      <c r="C314" s="7">
        <v>26.6</v>
      </c>
      <c r="D314" s="7">
        <v>0.0</v>
      </c>
      <c r="E314" s="7" t="s">
        <v>12</v>
      </c>
      <c r="F314" s="7" t="s">
        <v>10</v>
      </c>
      <c r="G314" s="7">
        <v>8444.474</v>
      </c>
      <c r="H314" s="3"/>
    </row>
    <row r="315" ht="14.25" customHeight="1">
      <c r="A315" s="7">
        <v>19.0</v>
      </c>
      <c r="B315" s="7" t="s">
        <v>8</v>
      </c>
      <c r="C315" s="7">
        <v>24.7</v>
      </c>
      <c r="D315" s="7">
        <v>0.0</v>
      </c>
      <c r="E315" s="7" t="s">
        <v>12</v>
      </c>
      <c r="F315" s="7" t="s">
        <v>10</v>
      </c>
      <c r="G315" s="7">
        <v>1737.376</v>
      </c>
      <c r="H315" s="3"/>
    </row>
    <row r="316" ht="14.25" customHeight="1">
      <c r="A316" s="7">
        <v>43.0</v>
      </c>
      <c r="B316" s="7" t="s">
        <v>11</v>
      </c>
      <c r="C316" s="7">
        <v>35.97</v>
      </c>
      <c r="D316" s="7">
        <v>3.0</v>
      </c>
      <c r="E316" s="7" t="s">
        <v>9</v>
      </c>
      <c r="F316" s="7" t="s">
        <v>13</v>
      </c>
      <c r="G316" s="7">
        <v>42124.5153</v>
      </c>
      <c r="H316" s="3"/>
    </row>
    <row r="317" ht="14.25" customHeight="1">
      <c r="A317" s="7">
        <v>49.0</v>
      </c>
      <c r="B317" s="7" t="s">
        <v>11</v>
      </c>
      <c r="C317" s="7">
        <v>35.86</v>
      </c>
      <c r="D317" s="7">
        <v>0.0</v>
      </c>
      <c r="E317" s="7" t="s">
        <v>12</v>
      </c>
      <c r="F317" s="7" t="s">
        <v>13</v>
      </c>
      <c r="G317" s="7">
        <v>8124.4084</v>
      </c>
      <c r="H317" s="3"/>
    </row>
    <row r="318" ht="14.25" customHeight="1">
      <c r="A318" s="7">
        <v>27.0</v>
      </c>
      <c r="B318" s="7" t="s">
        <v>8</v>
      </c>
      <c r="C318" s="7">
        <v>31.4</v>
      </c>
      <c r="D318" s="7">
        <v>0.0</v>
      </c>
      <c r="E318" s="7" t="s">
        <v>9</v>
      </c>
      <c r="F318" s="7" t="s">
        <v>10</v>
      </c>
      <c r="G318" s="7">
        <v>34838.873</v>
      </c>
      <c r="H318" s="3"/>
    </row>
    <row r="319" ht="14.25" customHeight="1">
      <c r="A319" s="7">
        <v>52.0</v>
      </c>
      <c r="B319" s="7" t="s">
        <v>11</v>
      </c>
      <c r="C319" s="7">
        <v>33.25</v>
      </c>
      <c r="D319" s="7">
        <v>0.0</v>
      </c>
      <c r="E319" s="7" t="s">
        <v>12</v>
      </c>
      <c r="F319" s="7" t="s">
        <v>15</v>
      </c>
      <c r="G319" s="7">
        <v>9722.7695</v>
      </c>
      <c r="H319" s="3"/>
    </row>
    <row r="320" ht="14.25" customHeight="1">
      <c r="A320" s="7">
        <v>50.0</v>
      </c>
      <c r="B320" s="7" t="s">
        <v>11</v>
      </c>
      <c r="C320" s="7">
        <v>32.205</v>
      </c>
      <c r="D320" s="7">
        <v>0.0</v>
      </c>
      <c r="E320" s="7" t="s">
        <v>12</v>
      </c>
      <c r="F320" s="7" t="s">
        <v>14</v>
      </c>
      <c r="G320" s="7">
        <v>8835.26495</v>
      </c>
      <c r="H320" s="3"/>
    </row>
    <row r="321" ht="14.25" customHeight="1">
      <c r="A321" s="7">
        <v>54.0</v>
      </c>
      <c r="B321" s="7" t="s">
        <v>11</v>
      </c>
      <c r="C321" s="7">
        <v>32.775</v>
      </c>
      <c r="D321" s="7">
        <v>0.0</v>
      </c>
      <c r="E321" s="7" t="s">
        <v>12</v>
      </c>
      <c r="F321" s="7" t="s">
        <v>15</v>
      </c>
      <c r="G321" s="7">
        <v>10435.06525</v>
      </c>
      <c r="H321" s="3"/>
    </row>
    <row r="322" ht="14.25" customHeight="1">
      <c r="A322" s="7">
        <v>44.0</v>
      </c>
      <c r="B322" s="7" t="s">
        <v>8</v>
      </c>
      <c r="C322" s="7">
        <v>27.645</v>
      </c>
      <c r="D322" s="7">
        <v>0.0</v>
      </c>
      <c r="E322" s="7" t="s">
        <v>12</v>
      </c>
      <c r="F322" s="7" t="s">
        <v>14</v>
      </c>
      <c r="G322" s="7">
        <v>7421.19455</v>
      </c>
      <c r="H322" s="3"/>
    </row>
    <row r="323" ht="14.25" customHeight="1">
      <c r="A323" s="7">
        <v>32.0</v>
      </c>
      <c r="B323" s="7" t="s">
        <v>11</v>
      </c>
      <c r="C323" s="7">
        <v>37.335</v>
      </c>
      <c r="D323" s="7">
        <v>1.0</v>
      </c>
      <c r="E323" s="7" t="s">
        <v>12</v>
      </c>
      <c r="F323" s="7" t="s">
        <v>15</v>
      </c>
      <c r="G323" s="7">
        <v>4667.60765</v>
      </c>
      <c r="H323" s="3"/>
    </row>
    <row r="324" ht="14.25" customHeight="1">
      <c r="A324" s="7">
        <v>34.0</v>
      </c>
      <c r="B324" s="7" t="s">
        <v>11</v>
      </c>
      <c r="C324" s="7">
        <v>25.27</v>
      </c>
      <c r="D324" s="7">
        <v>1.0</v>
      </c>
      <c r="E324" s="7" t="s">
        <v>12</v>
      </c>
      <c r="F324" s="7" t="s">
        <v>14</v>
      </c>
      <c r="G324" s="7">
        <v>4894.7533</v>
      </c>
      <c r="H324" s="3"/>
    </row>
    <row r="325" ht="14.25" customHeight="1">
      <c r="A325" s="7">
        <v>26.0</v>
      </c>
      <c r="B325" s="7" t="s">
        <v>8</v>
      </c>
      <c r="C325" s="7">
        <v>29.64</v>
      </c>
      <c r="D325" s="7">
        <v>4.0</v>
      </c>
      <c r="E325" s="7" t="s">
        <v>12</v>
      </c>
      <c r="F325" s="7" t="s">
        <v>15</v>
      </c>
      <c r="G325" s="7">
        <v>24671.66334</v>
      </c>
      <c r="H325" s="3"/>
    </row>
    <row r="326" ht="14.25" customHeight="1">
      <c r="A326" s="7">
        <v>34.0</v>
      </c>
      <c r="B326" s="7" t="s">
        <v>11</v>
      </c>
      <c r="C326" s="7">
        <v>30.8</v>
      </c>
      <c r="D326" s="7">
        <v>0.0</v>
      </c>
      <c r="E326" s="7" t="s">
        <v>9</v>
      </c>
      <c r="F326" s="7" t="s">
        <v>10</v>
      </c>
      <c r="G326" s="7">
        <v>35491.64</v>
      </c>
      <c r="H326" s="3"/>
    </row>
    <row r="327" ht="14.25" customHeight="1">
      <c r="A327" s="7">
        <v>57.0</v>
      </c>
      <c r="B327" s="7" t="s">
        <v>11</v>
      </c>
      <c r="C327" s="7">
        <v>40.945</v>
      </c>
      <c r="D327" s="7">
        <v>0.0</v>
      </c>
      <c r="E327" s="7" t="s">
        <v>12</v>
      </c>
      <c r="F327" s="7" t="s">
        <v>15</v>
      </c>
      <c r="G327" s="7">
        <v>11566.30055</v>
      </c>
      <c r="H327" s="3"/>
    </row>
    <row r="328" ht="14.25" customHeight="1">
      <c r="A328" s="7">
        <v>29.0</v>
      </c>
      <c r="B328" s="7" t="s">
        <v>11</v>
      </c>
      <c r="C328" s="7">
        <v>27.2</v>
      </c>
      <c r="D328" s="7">
        <v>0.0</v>
      </c>
      <c r="E328" s="7" t="s">
        <v>12</v>
      </c>
      <c r="F328" s="7" t="s">
        <v>10</v>
      </c>
      <c r="G328" s="7">
        <v>2866.091</v>
      </c>
      <c r="H328" s="3"/>
    </row>
    <row r="329" ht="14.25" customHeight="1">
      <c r="A329" s="7">
        <v>40.0</v>
      </c>
      <c r="B329" s="7" t="s">
        <v>11</v>
      </c>
      <c r="C329" s="7">
        <v>34.105</v>
      </c>
      <c r="D329" s="7">
        <v>1.0</v>
      </c>
      <c r="E329" s="7" t="s">
        <v>12</v>
      </c>
      <c r="F329" s="7" t="s">
        <v>15</v>
      </c>
      <c r="G329" s="7">
        <v>6600.20595</v>
      </c>
      <c r="H329" s="3"/>
    </row>
    <row r="330" ht="14.25" customHeight="1">
      <c r="A330" s="7">
        <v>27.0</v>
      </c>
      <c r="B330" s="7" t="s">
        <v>8</v>
      </c>
      <c r="C330" s="7">
        <v>23.21</v>
      </c>
      <c r="D330" s="7">
        <v>1.0</v>
      </c>
      <c r="E330" s="7" t="s">
        <v>12</v>
      </c>
      <c r="F330" s="7" t="s">
        <v>13</v>
      </c>
      <c r="G330" s="7">
        <v>3561.8889</v>
      </c>
      <c r="H330" s="3"/>
    </row>
    <row r="331" ht="14.25" customHeight="1">
      <c r="A331" s="7">
        <v>45.0</v>
      </c>
      <c r="B331" s="7" t="s">
        <v>11</v>
      </c>
      <c r="C331" s="7">
        <v>36.48</v>
      </c>
      <c r="D331" s="7">
        <v>2.0</v>
      </c>
      <c r="E331" s="7" t="s">
        <v>9</v>
      </c>
      <c r="F331" s="7" t="s">
        <v>14</v>
      </c>
      <c r="G331" s="7">
        <v>42760.5022</v>
      </c>
      <c r="H331" s="3"/>
    </row>
    <row r="332" ht="14.25" customHeight="1">
      <c r="A332" s="7">
        <v>64.0</v>
      </c>
      <c r="B332" s="7" t="s">
        <v>8</v>
      </c>
      <c r="C332" s="7">
        <v>33.8</v>
      </c>
      <c r="D332" s="7">
        <v>1.0</v>
      </c>
      <c r="E332" s="7" t="s">
        <v>9</v>
      </c>
      <c r="F332" s="7" t="s">
        <v>10</v>
      </c>
      <c r="G332" s="7">
        <v>47928.03</v>
      </c>
      <c r="H332" s="3"/>
    </row>
    <row r="333" ht="14.25" customHeight="1">
      <c r="A333" s="7">
        <v>52.0</v>
      </c>
      <c r="B333" s="7" t="s">
        <v>11</v>
      </c>
      <c r="C333" s="7">
        <v>36.7</v>
      </c>
      <c r="D333" s="7">
        <v>0.0</v>
      </c>
      <c r="E333" s="7" t="s">
        <v>12</v>
      </c>
      <c r="F333" s="7" t="s">
        <v>10</v>
      </c>
      <c r="G333" s="7">
        <v>9144.565</v>
      </c>
      <c r="H333" s="3"/>
    </row>
    <row r="334" ht="14.25" customHeight="1">
      <c r="A334" s="7">
        <v>61.0</v>
      </c>
      <c r="B334" s="7" t="s">
        <v>8</v>
      </c>
      <c r="C334" s="7">
        <v>36.385</v>
      </c>
      <c r="D334" s="7">
        <v>1.0</v>
      </c>
      <c r="E334" s="7" t="s">
        <v>9</v>
      </c>
      <c r="F334" s="7" t="s">
        <v>15</v>
      </c>
      <c r="G334" s="7">
        <v>48517.56315</v>
      </c>
      <c r="H334" s="3"/>
    </row>
    <row r="335" ht="14.25" customHeight="1">
      <c r="A335" s="7">
        <v>52.0</v>
      </c>
      <c r="B335" s="7" t="s">
        <v>11</v>
      </c>
      <c r="C335" s="7">
        <v>27.36</v>
      </c>
      <c r="D335" s="7">
        <v>0.0</v>
      </c>
      <c r="E335" s="7" t="s">
        <v>9</v>
      </c>
      <c r="F335" s="7" t="s">
        <v>14</v>
      </c>
      <c r="G335" s="7">
        <v>24393.6224</v>
      </c>
      <c r="H335" s="3"/>
    </row>
    <row r="336" ht="14.25" customHeight="1">
      <c r="A336" s="7">
        <v>61.0</v>
      </c>
      <c r="B336" s="7" t="s">
        <v>8</v>
      </c>
      <c r="C336" s="7">
        <v>31.16</v>
      </c>
      <c r="D336" s="7">
        <v>0.0</v>
      </c>
      <c r="E336" s="7" t="s">
        <v>12</v>
      </c>
      <c r="F336" s="7" t="s">
        <v>14</v>
      </c>
      <c r="G336" s="7">
        <v>13429.0354</v>
      </c>
      <c r="H336" s="3"/>
    </row>
    <row r="337" ht="14.25" customHeight="1">
      <c r="A337" s="7">
        <v>56.0</v>
      </c>
      <c r="B337" s="7" t="s">
        <v>8</v>
      </c>
      <c r="C337" s="7">
        <v>28.785</v>
      </c>
      <c r="D337" s="7">
        <v>0.0</v>
      </c>
      <c r="E337" s="7" t="s">
        <v>12</v>
      </c>
      <c r="F337" s="7" t="s">
        <v>15</v>
      </c>
      <c r="G337" s="7">
        <v>11658.37915</v>
      </c>
      <c r="H337" s="3"/>
    </row>
    <row r="338" ht="14.25" customHeight="1">
      <c r="A338" s="7">
        <v>43.0</v>
      </c>
      <c r="B338" s="7" t="s">
        <v>8</v>
      </c>
      <c r="C338" s="7">
        <v>35.72</v>
      </c>
      <c r="D338" s="7">
        <v>2.0</v>
      </c>
      <c r="E338" s="7" t="s">
        <v>12</v>
      </c>
      <c r="F338" s="7" t="s">
        <v>15</v>
      </c>
      <c r="G338" s="7">
        <v>19144.57652</v>
      </c>
      <c r="H338" s="3"/>
    </row>
    <row r="339" ht="14.25" customHeight="1">
      <c r="A339" s="7">
        <v>64.0</v>
      </c>
      <c r="B339" s="7" t="s">
        <v>11</v>
      </c>
      <c r="C339" s="7">
        <v>34.5</v>
      </c>
      <c r="D339" s="7">
        <v>0.0</v>
      </c>
      <c r="E339" s="7" t="s">
        <v>12</v>
      </c>
      <c r="F339" s="7" t="s">
        <v>10</v>
      </c>
      <c r="G339" s="7">
        <v>13822.803</v>
      </c>
      <c r="H339" s="3"/>
    </row>
    <row r="340" ht="14.25" customHeight="1">
      <c r="A340" s="7">
        <v>60.0</v>
      </c>
      <c r="B340" s="7" t="s">
        <v>11</v>
      </c>
      <c r="C340" s="7">
        <v>25.74</v>
      </c>
      <c r="D340" s="7">
        <v>0.0</v>
      </c>
      <c r="E340" s="7" t="s">
        <v>12</v>
      </c>
      <c r="F340" s="7" t="s">
        <v>13</v>
      </c>
      <c r="G340" s="7">
        <v>12142.5786</v>
      </c>
      <c r="H340" s="3"/>
    </row>
    <row r="341" ht="14.25" customHeight="1">
      <c r="A341" s="7">
        <v>62.0</v>
      </c>
      <c r="B341" s="7" t="s">
        <v>11</v>
      </c>
      <c r="C341" s="7">
        <v>27.55</v>
      </c>
      <c r="D341" s="7">
        <v>1.0</v>
      </c>
      <c r="E341" s="7" t="s">
        <v>12</v>
      </c>
      <c r="F341" s="7" t="s">
        <v>14</v>
      </c>
      <c r="G341" s="7">
        <v>13937.6665</v>
      </c>
      <c r="H341" s="3"/>
    </row>
    <row r="342" ht="14.25" customHeight="1">
      <c r="A342" s="7">
        <v>50.0</v>
      </c>
      <c r="B342" s="7" t="s">
        <v>11</v>
      </c>
      <c r="C342" s="7">
        <v>32.3</v>
      </c>
      <c r="D342" s="7">
        <v>1.0</v>
      </c>
      <c r="E342" s="7" t="s">
        <v>9</v>
      </c>
      <c r="F342" s="7" t="s">
        <v>15</v>
      </c>
      <c r="G342" s="7">
        <v>41919.097</v>
      </c>
      <c r="H342" s="3"/>
    </row>
    <row r="343" ht="14.25" customHeight="1">
      <c r="A343" s="7">
        <v>46.0</v>
      </c>
      <c r="B343" s="7" t="s">
        <v>8</v>
      </c>
      <c r="C343" s="7">
        <v>27.72</v>
      </c>
      <c r="D343" s="7">
        <v>1.0</v>
      </c>
      <c r="E343" s="7" t="s">
        <v>12</v>
      </c>
      <c r="F343" s="7" t="s">
        <v>13</v>
      </c>
      <c r="G343" s="7">
        <v>8232.6388</v>
      </c>
      <c r="H343" s="3"/>
    </row>
    <row r="344" ht="14.25" customHeight="1">
      <c r="A344" s="7">
        <v>24.0</v>
      </c>
      <c r="B344" s="7" t="s">
        <v>8</v>
      </c>
      <c r="C344" s="7">
        <v>27.6</v>
      </c>
      <c r="D344" s="7">
        <v>0.0</v>
      </c>
      <c r="E344" s="7" t="s">
        <v>12</v>
      </c>
      <c r="F344" s="7" t="s">
        <v>10</v>
      </c>
      <c r="G344" s="7">
        <v>18955.22017</v>
      </c>
      <c r="H344" s="3"/>
    </row>
    <row r="345" ht="14.25" customHeight="1">
      <c r="A345" s="7">
        <v>62.0</v>
      </c>
      <c r="B345" s="7" t="s">
        <v>11</v>
      </c>
      <c r="C345" s="7">
        <v>30.02</v>
      </c>
      <c r="D345" s="7">
        <v>0.0</v>
      </c>
      <c r="E345" s="7" t="s">
        <v>12</v>
      </c>
      <c r="F345" s="7" t="s">
        <v>14</v>
      </c>
      <c r="G345" s="7">
        <v>13352.0998</v>
      </c>
      <c r="H345" s="3"/>
    </row>
    <row r="346" ht="14.25" customHeight="1">
      <c r="A346" s="7">
        <v>60.0</v>
      </c>
      <c r="B346" s="7" t="s">
        <v>8</v>
      </c>
      <c r="C346" s="7">
        <v>27.55</v>
      </c>
      <c r="D346" s="7">
        <v>0.0</v>
      </c>
      <c r="E346" s="7" t="s">
        <v>12</v>
      </c>
      <c r="F346" s="7" t="s">
        <v>15</v>
      </c>
      <c r="G346" s="7">
        <v>13217.0945</v>
      </c>
      <c r="H346" s="3"/>
    </row>
    <row r="347" ht="14.25" customHeight="1">
      <c r="A347" s="7">
        <v>63.0</v>
      </c>
      <c r="B347" s="7" t="s">
        <v>11</v>
      </c>
      <c r="C347" s="7">
        <v>36.765</v>
      </c>
      <c r="D347" s="7">
        <v>0.0</v>
      </c>
      <c r="E347" s="7" t="s">
        <v>12</v>
      </c>
      <c r="F347" s="7" t="s">
        <v>15</v>
      </c>
      <c r="G347" s="7">
        <v>13981.85035</v>
      </c>
      <c r="H347" s="3"/>
    </row>
    <row r="348" ht="14.25" customHeight="1">
      <c r="A348" s="7">
        <v>49.0</v>
      </c>
      <c r="B348" s="7" t="s">
        <v>8</v>
      </c>
      <c r="C348" s="7">
        <v>41.47</v>
      </c>
      <c r="D348" s="7">
        <v>4.0</v>
      </c>
      <c r="E348" s="7" t="s">
        <v>12</v>
      </c>
      <c r="F348" s="7" t="s">
        <v>13</v>
      </c>
      <c r="G348" s="7">
        <v>10977.2063</v>
      </c>
      <c r="H348" s="3"/>
    </row>
    <row r="349" ht="14.25" customHeight="1">
      <c r="A349" s="7">
        <v>34.0</v>
      </c>
      <c r="B349" s="7" t="s">
        <v>8</v>
      </c>
      <c r="C349" s="7">
        <v>29.26</v>
      </c>
      <c r="D349" s="7">
        <v>3.0</v>
      </c>
      <c r="E349" s="7" t="s">
        <v>12</v>
      </c>
      <c r="F349" s="7" t="s">
        <v>13</v>
      </c>
      <c r="G349" s="7">
        <v>6184.2994</v>
      </c>
      <c r="H349" s="3"/>
    </row>
    <row r="350" ht="14.25" customHeight="1">
      <c r="A350" s="7">
        <v>33.0</v>
      </c>
      <c r="B350" s="7" t="s">
        <v>11</v>
      </c>
      <c r="C350" s="7">
        <v>35.75</v>
      </c>
      <c r="D350" s="7">
        <v>2.0</v>
      </c>
      <c r="E350" s="7" t="s">
        <v>12</v>
      </c>
      <c r="F350" s="7" t="s">
        <v>13</v>
      </c>
      <c r="G350" s="7">
        <v>4889.9995</v>
      </c>
      <c r="H350" s="3"/>
    </row>
    <row r="351" ht="14.25" customHeight="1">
      <c r="A351" s="7">
        <v>46.0</v>
      </c>
      <c r="B351" s="7" t="s">
        <v>11</v>
      </c>
      <c r="C351" s="7">
        <v>33.345</v>
      </c>
      <c r="D351" s="7">
        <v>1.0</v>
      </c>
      <c r="E351" s="7" t="s">
        <v>12</v>
      </c>
      <c r="F351" s="7" t="s">
        <v>15</v>
      </c>
      <c r="G351" s="7">
        <v>8334.45755</v>
      </c>
      <c r="H351" s="3"/>
    </row>
    <row r="352" ht="14.25" customHeight="1">
      <c r="A352" s="7">
        <v>36.0</v>
      </c>
      <c r="B352" s="7" t="s">
        <v>8</v>
      </c>
      <c r="C352" s="7">
        <v>29.92</v>
      </c>
      <c r="D352" s="7">
        <v>1.0</v>
      </c>
      <c r="E352" s="7" t="s">
        <v>12</v>
      </c>
      <c r="F352" s="7" t="s">
        <v>13</v>
      </c>
      <c r="G352" s="7">
        <v>5478.0368</v>
      </c>
      <c r="H352" s="3"/>
    </row>
    <row r="353" ht="14.25" customHeight="1">
      <c r="A353" s="7">
        <v>19.0</v>
      </c>
      <c r="B353" s="7" t="s">
        <v>11</v>
      </c>
      <c r="C353" s="7">
        <v>27.835</v>
      </c>
      <c r="D353" s="7">
        <v>0.0</v>
      </c>
      <c r="E353" s="7" t="s">
        <v>12</v>
      </c>
      <c r="F353" s="7" t="s">
        <v>14</v>
      </c>
      <c r="G353" s="7">
        <v>1635.73365</v>
      </c>
      <c r="H353" s="3"/>
    </row>
    <row r="354" ht="14.25" customHeight="1">
      <c r="A354" s="7">
        <v>57.0</v>
      </c>
      <c r="B354" s="7" t="s">
        <v>8</v>
      </c>
      <c r="C354" s="7">
        <v>23.18</v>
      </c>
      <c r="D354" s="7">
        <v>0.0</v>
      </c>
      <c r="E354" s="7" t="s">
        <v>12</v>
      </c>
      <c r="F354" s="7" t="s">
        <v>14</v>
      </c>
      <c r="G354" s="7">
        <v>11830.6072</v>
      </c>
      <c r="H354" s="3"/>
    </row>
    <row r="355" ht="14.25" customHeight="1">
      <c r="A355" s="7">
        <v>50.0</v>
      </c>
      <c r="B355" s="7" t="s">
        <v>8</v>
      </c>
      <c r="C355" s="7">
        <v>25.6</v>
      </c>
      <c r="D355" s="7">
        <v>0.0</v>
      </c>
      <c r="E355" s="7" t="s">
        <v>12</v>
      </c>
      <c r="F355" s="7" t="s">
        <v>10</v>
      </c>
      <c r="G355" s="7">
        <v>8932.084</v>
      </c>
      <c r="H355" s="3"/>
    </row>
    <row r="356" ht="14.25" customHeight="1">
      <c r="A356" s="7">
        <v>30.0</v>
      </c>
      <c r="B356" s="7" t="s">
        <v>8</v>
      </c>
      <c r="C356" s="7">
        <v>27.7</v>
      </c>
      <c r="D356" s="7">
        <v>0.0</v>
      </c>
      <c r="E356" s="7" t="s">
        <v>12</v>
      </c>
      <c r="F356" s="7" t="s">
        <v>10</v>
      </c>
      <c r="G356" s="7">
        <v>3554.203</v>
      </c>
      <c r="H356" s="3"/>
    </row>
    <row r="357" ht="14.25" customHeight="1">
      <c r="A357" s="7">
        <v>33.0</v>
      </c>
      <c r="B357" s="7" t="s">
        <v>11</v>
      </c>
      <c r="C357" s="7">
        <v>35.245</v>
      </c>
      <c r="D357" s="7">
        <v>0.0</v>
      </c>
      <c r="E357" s="7" t="s">
        <v>12</v>
      </c>
      <c r="F357" s="7" t="s">
        <v>15</v>
      </c>
      <c r="G357" s="7">
        <v>12404.8791</v>
      </c>
      <c r="H357" s="3"/>
    </row>
    <row r="358" ht="14.25" customHeight="1">
      <c r="A358" s="7">
        <v>18.0</v>
      </c>
      <c r="B358" s="7" t="s">
        <v>8</v>
      </c>
      <c r="C358" s="7">
        <v>38.28</v>
      </c>
      <c r="D358" s="7">
        <v>0.0</v>
      </c>
      <c r="E358" s="7" t="s">
        <v>12</v>
      </c>
      <c r="F358" s="7" t="s">
        <v>13</v>
      </c>
      <c r="G358" s="7">
        <v>14133.03775</v>
      </c>
      <c r="H358" s="3"/>
    </row>
    <row r="359" ht="14.25" customHeight="1">
      <c r="A359" s="7">
        <v>46.0</v>
      </c>
      <c r="B359" s="7" t="s">
        <v>11</v>
      </c>
      <c r="C359" s="7">
        <v>27.6</v>
      </c>
      <c r="D359" s="7">
        <v>0.0</v>
      </c>
      <c r="E359" s="7" t="s">
        <v>12</v>
      </c>
      <c r="F359" s="7" t="s">
        <v>10</v>
      </c>
      <c r="G359" s="7">
        <v>24603.04837</v>
      </c>
      <c r="H359" s="3"/>
    </row>
    <row r="360" ht="14.25" customHeight="1">
      <c r="A360" s="7">
        <v>46.0</v>
      </c>
      <c r="B360" s="7" t="s">
        <v>11</v>
      </c>
      <c r="C360" s="7">
        <v>43.89</v>
      </c>
      <c r="D360" s="7">
        <v>3.0</v>
      </c>
      <c r="E360" s="7" t="s">
        <v>12</v>
      </c>
      <c r="F360" s="7" t="s">
        <v>13</v>
      </c>
      <c r="G360" s="7">
        <v>8944.1151</v>
      </c>
      <c r="H360" s="3"/>
    </row>
    <row r="361" ht="14.25" customHeight="1">
      <c r="A361" s="7">
        <v>47.0</v>
      </c>
      <c r="B361" s="7" t="s">
        <v>11</v>
      </c>
      <c r="C361" s="7">
        <v>29.83</v>
      </c>
      <c r="D361" s="7">
        <v>3.0</v>
      </c>
      <c r="E361" s="7" t="s">
        <v>12</v>
      </c>
      <c r="F361" s="7" t="s">
        <v>14</v>
      </c>
      <c r="G361" s="7">
        <v>9620.3307</v>
      </c>
      <c r="H361" s="3"/>
    </row>
    <row r="362" ht="14.25" customHeight="1">
      <c r="A362" s="7">
        <v>23.0</v>
      </c>
      <c r="B362" s="7" t="s">
        <v>11</v>
      </c>
      <c r="C362" s="7">
        <v>41.91</v>
      </c>
      <c r="D362" s="7">
        <v>0.0</v>
      </c>
      <c r="E362" s="7" t="s">
        <v>12</v>
      </c>
      <c r="F362" s="7" t="s">
        <v>13</v>
      </c>
      <c r="G362" s="7">
        <v>1837.2819</v>
      </c>
      <c r="H362" s="3"/>
    </row>
    <row r="363" ht="14.25" customHeight="1">
      <c r="A363" s="7">
        <v>18.0</v>
      </c>
      <c r="B363" s="7" t="s">
        <v>8</v>
      </c>
      <c r="C363" s="7">
        <v>20.79</v>
      </c>
      <c r="D363" s="7">
        <v>0.0</v>
      </c>
      <c r="E363" s="7" t="s">
        <v>12</v>
      </c>
      <c r="F363" s="7" t="s">
        <v>13</v>
      </c>
      <c r="G363" s="7">
        <v>1607.5101</v>
      </c>
      <c r="H363" s="3"/>
    </row>
    <row r="364" ht="14.25" customHeight="1">
      <c r="A364" s="7">
        <v>48.0</v>
      </c>
      <c r="B364" s="7" t="s">
        <v>8</v>
      </c>
      <c r="C364" s="7">
        <v>32.3</v>
      </c>
      <c r="D364" s="7">
        <v>2.0</v>
      </c>
      <c r="E364" s="7" t="s">
        <v>12</v>
      </c>
      <c r="F364" s="7" t="s">
        <v>15</v>
      </c>
      <c r="G364" s="7">
        <v>10043.249</v>
      </c>
      <c r="H364" s="3"/>
    </row>
    <row r="365" ht="14.25" customHeight="1">
      <c r="A365" s="7">
        <v>35.0</v>
      </c>
      <c r="B365" s="7" t="s">
        <v>11</v>
      </c>
      <c r="C365" s="7">
        <v>30.5</v>
      </c>
      <c r="D365" s="7">
        <v>1.0</v>
      </c>
      <c r="E365" s="7" t="s">
        <v>12</v>
      </c>
      <c r="F365" s="7" t="s">
        <v>10</v>
      </c>
      <c r="G365" s="7">
        <v>4751.07</v>
      </c>
      <c r="H365" s="3"/>
    </row>
    <row r="366" ht="14.25" customHeight="1">
      <c r="A366" s="7">
        <v>19.0</v>
      </c>
      <c r="B366" s="7" t="s">
        <v>8</v>
      </c>
      <c r="C366" s="7">
        <v>21.7</v>
      </c>
      <c r="D366" s="7">
        <v>0.0</v>
      </c>
      <c r="E366" s="7" t="s">
        <v>9</v>
      </c>
      <c r="F366" s="7" t="s">
        <v>10</v>
      </c>
      <c r="G366" s="7">
        <v>13844.506</v>
      </c>
      <c r="H366" s="3"/>
    </row>
    <row r="367" ht="14.25" customHeight="1">
      <c r="A367" s="7">
        <v>21.0</v>
      </c>
      <c r="B367" s="7" t="s">
        <v>8</v>
      </c>
      <c r="C367" s="7">
        <v>26.4</v>
      </c>
      <c r="D367" s="7">
        <v>1.0</v>
      </c>
      <c r="E367" s="7" t="s">
        <v>12</v>
      </c>
      <c r="F367" s="7" t="s">
        <v>10</v>
      </c>
      <c r="G367" s="7">
        <v>2597.779</v>
      </c>
      <c r="H367" s="3"/>
    </row>
    <row r="368" ht="14.25" customHeight="1">
      <c r="A368" s="7">
        <v>21.0</v>
      </c>
      <c r="B368" s="7" t="s">
        <v>8</v>
      </c>
      <c r="C368" s="7">
        <v>21.89</v>
      </c>
      <c r="D368" s="7">
        <v>2.0</v>
      </c>
      <c r="E368" s="7" t="s">
        <v>12</v>
      </c>
      <c r="F368" s="7" t="s">
        <v>13</v>
      </c>
      <c r="G368" s="7">
        <v>3180.5101</v>
      </c>
      <c r="H368" s="3"/>
    </row>
    <row r="369" ht="14.25" customHeight="1">
      <c r="A369" s="7">
        <v>49.0</v>
      </c>
      <c r="B369" s="7" t="s">
        <v>8</v>
      </c>
      <c r="C369" s="7">
        <v>30.78</v>
      </c>
      <c r="D369" s="7">
        <v>1.0</v>
      </c>
      <c r="E369" s="7" t="s">
        <v>12</v>
      </c>
      <c r="F369" s="7" t="s">
        <v>15</v>
      </c>
      <c r="G369" s="7">
        <v>9778.3472</v>
      </c>
      <c r="H369" s="3"/>
    </row>
    <row r="370" ht="14.25" customHeight="1">
      <c r="A370" s="7">
        <v>56.0</v>
      </c>
      <c r="B370" s="7" t="s">
        <v>8</v>
      </c>
      <c r="C370" s="7">
        <v>32.3</v>
      </c>
      <c r="D370" s="7">
        <v>3.0</v>
      </c>
      <c r="E370" s="7" t="s">
        <v>12</v>
      </c>
      <c r="F370" s="7" t="s">
        <v>15</v>
      </c>
      <c r="G370" s="7">
        <v>13430.265</v>
      </c>
      <c r="H370" s="3"/>
    </row>
    <row r="371" ht="14.25" customHeight="1">
      <c r="A371" s="7">
        <v>42.0</v>
      </c>
      <c r="B371" s="7" t="s">
        <v>8</v>
      </c>
      <c r="C371" s="7">
        <v>24.985</v>
      </c>
      <c r="D371" s="7">
        <v>2.0</v>
      </c>
      <c r="E371" s="7" t="s">
        <v>12</v>
      </c>
      <c r="F371" s="7" t="s">
        <v>14</v>
      </c>
      <c r="G371" s="7">
        <v>8017.06115</v>
      </c>
      <c r="H371" s="3"/>
    </row>
    <row r="372" ht="14.25" customHeight="1">
      <c r="A372" s="7">
        <v>44.0</v>
      </c>
      <c r="B372" s="7" t="s">
        <v>11</v>
      </c>
      <c r="C372" s="7">
        <v>32.015</v>
      </c>
      <c r="D372" s="7">
        <v>2.0</v>
      </c>
      <c r="E372" s="7" t="s">
        <v>12</v>
      </c>
      <c r="F372" s="7" t="s">
        <v>14</v>
      </c>
      <c r="G372" s="7">
        <v>8116.26885</v>
      </c>
      <c r="H372" s="3"/>
    </row>
    <row r="373" ht="14.25" customHeight="1">
      <c r="A373" s="7">
        <v>18.0</v>
      </c>
      <c r="B373" s="7" t="s">
        <v>11</v>
      </c>
      <c r="C373" s="7">
        <v>30.4</v>
      </c>
      <c r="D373" s="7">
        <v>3.0</v>
      </c>
      <c r="E373" s="7" t="s">
        <v>12</v>
      </c>
      <c r="F373" s="7" t="s">
        <v>15</v>
      </c>
      <c r="G373" s="7">
        <v>3481.868</v>
      </c>
      <c r="H373" s="3"/>
    </row>
    <row r="374" ht="14.25" customHeight="1">
      <c r="A374" s="7">
        <v>61.0</v>
      </c>
      <c r="B374" s="7" t="s">
        <v>8</v>
      </c>
      <c r="C374" s="7">
        <v>21.09</v>
      </c>
      <c r="D374" s="7">
        <v>0.0</v>
      </c>
      <c r="E374" s="7" t="s">
        <v>12</v>
      </c>
      <c r="F374" s="7" t="s">
        <v>14</v>
      </c>
      <c r="G374" s="7">
        <v>13415.0381</v>
      </c>
      <c r="H374" s="3"/>
    </row>
    <row r="375" ht="14.25" customHeight="1">
      <c r="A375" s="7">
        <v>57.0</v>
      </c>
      <c r="B375" s="7" t="s">
        <v>8</v>
      </c>
      <c r="C375" s="7">
        <v>22.23</v>
      </c>
      <c r="D375" s="7">
        <v>0.0</v>
      </c>
      <c r="E375" s="7" t="s">
        <v>12</v>
      </c>
      <c r="F375" s="7" t="s">
        <v>15</v>
      </c>
      <c r="G375" s="7">
        <v>12029.2867</v>
      </c>
      <c r="H375" s="3"/>
    </row>
    <row r="376" ht="14.25" customHeight="1">
      <c r="A376" s="7">
        <v>42.0</v>
      </c>
      <c r="B376" s="7" t="s">
        <v>8</v>
      </c>
      <c r="C376" s="7">
        <v>33.155</v>
      </c>
      <c r="D376" s="7">
        <v>1.0</v>
      </c>
      <c r="E376" s="7" t="s">
        <v>12</v>
      </c>
      <c r="F376" s="7" t="s">
        <v>15</v>
      </c>
      <c r="G376" s="7">
        <v>7639.41745</v>
      </c>
      <c r="H376" s="3"/>
    </row>
    <row r="377" ht="14.25" customHeight="1">
      <c r="A377" s="7">
        <v>26.0</v>
      </c>
      <c r="B377" s="7" t="s">
        <v>11</v>
      </c>
      <c r="C377" s="7">
        <v>32.9</v>
      </c>
      <c r="D377" s="7">
        <v>2.0</v>
      </c>
      <c r="E377" s="7" t="s">
        <v>9</v>
      </c>
      <c r="F377" s="7" t="s">
        <v>10</v>
      </c>
      <c r="G377" s="7">
        <v>36085.219</v>
      </c>
      <c r="H377" s="3"/>
    </row>
    <row r="378" ht="14.25" customHeight="1">
      <c r="A378" s="7">
        <v>20.0</v>
      </c>
      <c r="B378" s="7" t="s">
        <v>11</v>
      </c>
      <c r="C378" s="7">
        <v>33.33</v>
      </c>
      <c r="D378" s="7">
        <v>0.0</v>
      </c>
      <c r="E378" s="7" t="s">
        <v>12</v>
      </c>
      <c r="F378" s="7" t="s">
        <v>13</v>
      </c>
      <c r="G378" s="7">
        <v>1391.5287</v>
      </c>
      <c r="H378" s="3"/>
    </row>
    <row r="379" ht="14.25" customHeight="1">
      <c r="A379" s="7">
        <v>23.0</v>
      </c>
      <c r="B379" s="7" t="s">
        <v>8</v>
      </c>
      <c r="C379" s="7">
        <v>28.31</v>
      </c>
      <c r="D379" s="7">
        <v>0.0</v>
      </c>
      <c r="E379" s="7" t="s">
        <v>9</v>
      </c>
      <c r="F379" s="7" t="s">
        <v>14</v>
      </c>
      <c r="G379" s="7">
        <v>18033.9679</v>
      </c>
      <c r="H379" s="3"/>
    </row>
    <row r="380" ht="14.25" customHeight="1">
      <c r="A380" s="7">
        <v>39.0</v>
      </c>
      <c r="B380" s="7" t="s">
        <v>8</v>
      </c>
      <c r="C380" s="7">
        <v>24.89</v>
      </c>
      <c r="D380" s="7">
        <v>3.0</v>
      </c>
      <c r="E380" s="7" t="s">
        <v>9</v>
      </c>
      <c r="F380" s="7" t="s">
        <v>15</v>
      </c>
      <c r="G380" s="7">
        <v>21659.9301</v>
      </c>
      <c r="H380" s="3"/>
    </row>
    <row r="381" ht="14.25" customHeight="1">
      <c r="A381" s="7">
        <v>24.0</v>
      </c>
      <c r="B381" s="7" t="s">
        <v>11</v>
      </c>
      <c r="C381" s="7">
        <v>40.15</v>
      </c>
      <c r="D381" s="7">
        <v>0.0</v>
      </c>
      <c r="E381" s="7" t="s">
        <v>9</v>
      </c>
      <c r="F381" s="7" t="s">
        <v>13</v>
      </c>
      <c r="G381" s="7">
        <v>38126.2465</v>
      </c>
      <c r="H381" s="3"/>
    </row>
    <row r="382" ht="14.25" customHeight="1">
      <c r="A382" s="7">
        <v>64.0</v>
      </c>
      <c r="B382" s="7" t="s">
        <v>8</v>
      </c>
      <c r="C382" s="7">
        <v>30.115</v>
      </c>
      <c r="D382" s="7">
        <v>3.0</v>
      </c>
      <c r="E382" s="7" t="s">
        <v>12</v>
      </c>
      <c r="F382" s="7" t="s">
        <v>14</v>
      </c>
      <c r="G382" s="7">
        <v>16455.70785</v>
      </c>
      <c r="H382" s="3"/>
    </row>
    <row r="383" ht="14.25" customHeight="1">
      <c r="A383" s="7">
        <v>62.0</v>
      </c>
      <c r="B383" s="7" t="s">
        <v>11</v>
      </c>
      <c r="C383" s="7">
        <v>31.46</v>
      </c>
      <c r="D383" s="7">
        <v>1.0</v>
      </c>
      <c r="E383" s="7" t="s">
        <v>12</v>
      </c>
      <c r="F383" s="7" t="s">
        <v>13</v>
      </c>
      <c r="G383" s="7">
        <v>27000.98473</v>
      </c>
      <c r="H383" s="3"/>
    </row>
    <row r="384" ht="14.25" customHeight="1">
      <c r="A384" s="7">
        <v>27.0</v>
      </c>
      <c r="B384" s="7" t="s">
        <v>8</v>
      </c>
      <c r="C384" s="7">
        <v>17.955</v>
      </c>
      <c r="D384" s="7">
        <v>2.0</v>
      </c>
      <c r="E384" s="7" t="s">
        <v>9</v>
      </c>
      <c r="F384" s="7" t="s">
        <v>15</v>
      </c>
      <c r="G384" s="7">
        <v>15006.57945</v>
      </c>
      <c r="H384" s="3"/>
    </row>
    <row r="385" ht="14.25" customHeight="1">
      <c r="A385" s="7">
        <v>55.0</v>
      </c>
      <c r="B385" s="7" t="s">
        <v>11</v>
      </c>
      <c r="C385" s="7">
        <v>30.685</v>
      </c>
      <c r="D385" s="7">
        <v>0.0</v>
      </c>
      <c r="E385" s="7" t="s">
        <v>9</v>
      </c>
      <c r="F385" s="7" t="s">
        <v>15</v>
      </c>
      <c r="G385" s="7">
        <v>42303.69215</v>
      </c>
      <c r="H385" s="3"/>
    </row>
    <row r="386" ht="14.25" customHeight="1">
      <c r="A386" s="7">
        <v>55.0</v>
      </c>
      <c r="B386" s="7" t="s">
        <v>11</v>
      </c>
      <c r="C386" s="7">
        <v>33.0</v>
      </c>
      <c r="D386" s="7">
        <v>0.0</v>
      </c>
      <c r="E386" s="7" t="s">
        <v>12</v>
      </c>
      <c r="F386" s="7" t="s">
        <v>13</v>
      </c>
      <c r="G386" s="7">
        <v>20781.48892</v>
      </c>
      <c r="H386" s="3"/>
    </row>
    <row r="387" ht="14.25" customHeight="1">
      <c r="A387" s="7">
        <v>35.0</v>
      </c>
      <c r="B387" s="7" t="s">
        <v>8</v>
      </c>
      <c r="C387" s="7">
        <v>43.34</v>
      </c>
      <c r="D387" s="7">
        <v>2.0</v>
      </c>
      <c r="E387" s="7" t="s">
        <v>12</v>
      </c>
      <c r="F387" s="7" t="s">
        <v>13</v>
      </c>
      <c r="G387" s="7">
        <v>5846.9176</v>
      </c>
      <c r="H387" s="3"/>
    </row>
    <row r="388" ht="14.25" customHeight="1">
      <c r="A388" s="7">
        <v>44.0</v>
      </c>
      <c r="B388" s="7" t="s">
        <v>11</v>
      </c>
      <c r="C388" s="7">
        <v>22.135</v>
      </c>
      <c r="D388" s="7">
        <v>2.0</v>
      </c>
      <c r="E388" s="7" t="s">
        <v>12</v>
      </c>
      <c r="F388" s="7" t="s">
        <v>15</v>
      </c>
      <c r="G388" s="7">
        <v>8302.53565</v>
      </c>
      <c r="H388" s="3"/>
    </row>
    <row r="389" ht="14.25" customHeight="1">
      <c r="A389" s="7">
        <v>19.0</v>
      </c>
      <c r="B389" s="7" t="s">
        <v>11</v>
      </c>
      <c r="C389" s="7">
        <v>34.4</v>
      </c>
      <c r="D389" s="7">
        <v>0.0</v>
      </c>
      <c r="E389" s="7" t="s">
        <v>12</v>
      </c>
      <c r="F389" s="7" t="s">
        <v>10</v>
      </c>
      <c r="G389" s="7">
        <v>1261.859</v>
      </c>
      <c r="H389" s="3"/>
    </row>
    <row r="390" ht="14.25" customHeight="1">
      <c r="A390" s="7">
        <v>58.0</v>
      </c>
      <c r="B390" s="7" t="s">
        <v>8</v>
      </c>
      <c r="C390" s="7">
        <v>39.05</v>
      </c>
      <c r="D390" s="7">
        <v>0.0</v>
      </c>
      <c r="E390" s="7" t="s">
        <v>12</v>
      </c>
      <c r="F390" s="7" t="s">
        <v>13</v>
      </c>
      <c r="G390" s="7">
        <v>11856.4115</v>
      </c>
      <c r="H390" s="3"/>
    </row>
    <row r="391" ht="14.25" customHeight="1">
      <c r="A391" s="7">
        <v>50.0</v>
      </c>
      <c r="B391" s="7" t="s">
        <v>11</v>
      </c>
      <c r="C391" s="7">
        <v>25.365</v>
      </c>
      <c r="D391" s="7">
        <v>2.0</v>
      </c>
      <c r="E391" s="7" t="s">
        <v>12</v>
      </c>
      <c r="F391" s="7" t="s">
        <v>14</v>
      </c>
      <c r="G391" s="7">
        <v>30284.64294</v>
      </c>
      <c r="H391" s="3"/>
    </row>
    <row r="392" ht="14.25" customHeight="1">
      <c r="A392" s="7">
        <v>26.0</v>
      </c>
      <c r="B392" s="7" t="s">
        <v>8</v>
      </c>
      <c r="C392" s="7">
        <v>22.61</v>
      </c>
      <c r="D392" s="7">
        <v>0.0</v>
      </c>
      <c r="E392" s="7" t="s">
        <v>12</v>
      </c>
      <c r="F392" s="7" t="s">
        <v>14</v>
      </c>
      <c r="G392" s="7">
        <v>3176.8159</v>
      </c>
      <c r="H392" s="3"/>
    </row>
    <row r="393" ht="14.25" customHeight="1">
      <c r="A393" s="7">
        <v>24.0</v>
      </c>
      <c r="B393" s="7" t="s">
        <v>8</v>
      </c>
      <c r="C393" s="7">
        <v>30.21</v>
      </c>
      <c r="D393" s="7">
        <v>3.0</v>
      </c>
      <c r="E393" s="7" t="s">
        <v>12</v>
      </c>
      <c r="F393" s="7" t="s">
        <v>14</v>
      </c>
      <c r="G393" s="7">
        <v>4618.0799</v>
      </c>
      <c r="H393" s="3"/>
    </row>
    <row r="394" ht="14.25" customHeight="1">
      <c r="A394" s="7">
        <v>48.0</v>
      </c>
      <c r="B394" s="7" t="s">
        <v>11</v>
      </c>
      <c r="C394" s="7">
        <v>35.625</v>
      </c>
      <c r="D394" s="7">
        <v>4.0</v>
      </c>
      <c r="E394" s="7" t="s">
        <v>12</v>
      </c>
      <c r="F394" s="7" t="s">
        <v>15</v>
      </c>
      <c r="G394" s="7">
        <v>10736.87075</v>
      </c>
      <c r="H394" s="3"/>
    </row>
    <row r="395" ht="14.25" customHeight="1">
      <c r="A395" s="7">
        <v>19.0</v>
      </c>
      <c r="B395" s="7" t="s">
        <v>8</v>
      </c>
      <c r="C395" s="7">
        <v>37.43</v>
      </c>
      <c r="D395" s="7">
        <v>0.0</v>
      </c>
      <c r="E395" s="7" t="s">
        <v>12</v>
      </c>
      <c r="F395" s="7" t="s">
        <v>14</v>
      </c>
      <c r="G395" s="7">
        <v>2138.0707</v>
      </c>
      <c r="H395" s="3"/>
    </row>
    <row r="396" ht="14.25" customHeight="1">
      <c r="A396" s="7">
        <v>48.0</v>
      </c>
      <c r="B396" s="7" t="s">
        <v>11</v>
      </c>
      <c r="C396" s="7">
        <v>31.445</v>
      </c>
      <c r="D396" s="7">
        <v>1.0</v>
      </c>
      <c r="E396" s="7" t="s">
        <v>12</v>
      </c>
      <c r="F396" s="7" t="s">
        <v>15</v>
      </c>
      <c r="G396" s="7">
        <v>8964.06055</v>
      </c>
      <c r="H396" s="3"/>
    </row>
    <row r="397" ht="14.25" customHeight="1">
      <c r="A397" s="7">
        <v>49.0</v>
      </c>
      <c r="B397" s="7" t="s">
        <v>11</v>
      </c>
      <c r="C397" s="7">
        <v>31.35</v>
      </c>
      <c r="D397" s="7">
        <v>1.0</v>
      </c>
      <c r="E397" s="7" t="s">
        <v>12</v>
      </c>
      <c r="F397" s="7" t="s">
        <v>15</v>
      </c>
      <c r="G397" s="7">
        <v>9290.1395</v>
      </c>
      <c r="H397" s="3"/>
    </row>
    <row r="398" ht="14.25" customHeight="1">
      <c r="A398" s="7">
        <v>46.0</v>
      </c>
      <c r="B398" s="7" t="s">
        <v>8</v>
      </c>
      <c r="C398" s="7">
        <v>32.3</v>
      </c>
      <c r="D398" s="7">
        <v>2.0</v>
      </c>
      <c r="E398" s="7" t="s">
        <v>12</v>
      </c>
      <c r="F398" s="7" t="s">
        <v>15</v>
      </c>
      <c r="G398" s="7">
        <v>9411.005</v>
      </c>
      <c r="H398" s="3"/>
    </row>
    <row r="399" ht="14.25" customHeight="1">
      <c r="A399" s="7">
        <v>46.0</v>
      </c>
      <c r="B399" s="7" t="s">
        <v>11</v>
      </c>
      <c r="C399" s="7">
        <v>19.855</v>
      </c>
      <c r="D399" s="7">
        <v>0.0</v>
      </c>
      <c r="E399" s="7" t="s">
        <v>12</v>
      </c>
      <c r="F399" s="7" t="s">
        <v>14</v>
      </c>
      <c r="G399" s="7">
        <v>7526.70645</v>
      </c>
      <c r="H399" s="3"/>
    </row>
    <row r="400" ht="14.25" customHeight="1">
      <c r="A400" s="7">
        <v>43.0</v>
      </c>
      <c r="B400" s="7" t="s">
        <v>8</v>
      </c>
      <c r="C400" s="7">
        <v>34.4</v>
      </c>
      <c r="D400" s="7">
        <v>3.0</v>
      </c>
      <c r="E400" s="7" t="s">
        <v>12</v>
      </c>
      <c r="F400" s="7" t="s">
        <v>10</v>
      </c>
      <c r="G400" s="7">
        <v>8522.003</v>
      </c>
      <c r="H400" s="3"/>
    </row>
    <row r="401" ht="14.25" customHeight="1">
      <c r="A401" s="7">
        <v>21.0</v>
      </c>
      <c r="B401" s="7" t="s">
        <v>11</v>
      </c>
      <c r="C401" s="7">
        <v>31.02</v>
      </c>
      <c r="D401" s="7">
        <v>0.0</v>
      </c>
      <c r="E401" s="7" t="s">
        <v>12</v>
      </c>
      <c r="F401" s="7" t="s">
        <v>13</v>
      </c>
      <c r="G401" s="7">
        <v>16586.49771</v>
      </c>
      <c r="H401" s="3"/>
    </row>
    <row r="402" ht="14.25" customHeight="1">
      <c r="A402" s="7">
        <v>64.0</v>
      </c>
      <c r="B402" s="7" t="s">
        <v>11</v>
      </c>
      <c r="C402" s="7">
        <v>25.6</v>
      </c>
      <c r="D402" s="7">
        <v>2.0</v>
      </c>
      <c r="E402" s="7" t="s">
        <v>12</v>
      </c>
      <c r="F402" s="7" t="s">
        <v>10</v>
      </c>
      <c r="G402" s="7">
        <v>14988.432</v>
      </c>
      <c r="H402" s="3"/>
    </row>
    <row r="403" ht="14.25" customHeight="1">
      <c r="A403" s="7">
        <v>18.0</v>
      </c>
      <c r="B403" s="7" t="s">
        <v>8</v>
      </c>
      <c r="C403" s="7">
        <v>38.17</v>
      </c>
      <c r="D403" s="7">
        <v>0.0</v>
      </c>
      <c r="E403" s="7" t="s">
        <v>12</v>
      </c>
      <c r="F403" s="7" t="s">
        <v>13</v>
      </c>
      <c r="G403" s="7">
        <v>1631.6683</v>
      </c>
      <c r="H403" s="3"/>
    </row>
    <row r="404" ht="14.25" customHeight="1">
      <c r="A404" s="7">
        <v>51.0</v>
      </c>
      <c r="B404" s="7" t="s">
        <v>8</v>
      </c>
      <c r="C404" s="7">
        <v>20.6</v>
      </c>
      <c r="D404" s="7">
        <v>0.0</v>
      </c>
      <c r="E404" s="7" t="s">
        <v>12</v>
      </c>
      <c r="F404" s="7" t="s">
        <v>10</v>
      </c>
      <c r="G404" s="7">
        <v>9264.797</v>
      </c>
      <c r="H404" s="3"/>
    </row>
    <row r="405" ht="14.25" customHeight="1">
      <c r="A405" s="7">
        <v>47.0</v>
      </c>
      <c r="B405" s="7" t="s">
        <v>11</v>
      </c>
      <c r="C405" s="7">
        <v>47.52</v>
      </c>
      <c r="D405" s="7">
        <v>1.0</v>
      </c>
      <c r="E405" s="7" t="s">
        <v>12</v>
      </c>
      <c r="F405" s="7" t="s">
        <v>13</v>
      </c>
      <c r="G405" s="7">
        <v>8083.9198</v>
      </c>
      <c r="H405" s="3"/>
    </row>
    <row r="406" ht="14.25" customHeight="1">
      <c r="A406" s="7">
        <v>64.0</v>
      </c>
      <c r="B406" s="7" t="s">
        <v>8</v>
      </c>
      <c r="C406" s="7">
        <v>32.965</v>
      </c>
      <c r="D406" s="7">
        <v>0.0</v>
      </c>
      <c r="E406" s="7" t="s">
        <v>12</v>
      </c>
      <c r="F406" s="7" t="s">
        <v>14</v>
      </c>
      <c r="G406" s="7">
        <v>14692.66935</v>
      </c>
      <c r="H406" s="3"/>
    </row>
    <row r="407" ht="14.25" customHeight="1">
      <c r="A407" s="7">
        <v>49.0</v>
      </c>
      <c r="B407" s="7" t="s">
        <v>11</v>
      </c>
      <c r="C407" s="7">
        <v>32.3</v>
      </c>
      <c r="D407" s="7">
        <v>3.0</v>
      </c>
      <c r="E407" s="7" t="s">
        <v>12</v>
      </c>
      <c r="F407" s="7" t="s">
        <v>14</v>
      </c>
      <c r="G407" s="7">
        <v>10269.46</v>
      </c>
      <c r="H407" s="3"/>
    </row>
    <row r="408" ht="14.25" customHeight="1">
      <c r="A408" s="7">
        <v>31.0</v>
      </c>
      <c r="B408" s="7" t="s">
        <v>11</v>
      </c>
      <c r="C408" s="7">
        <v>20.4</v>
      </c>
      <c r="D408" s="7">
        <v>0.0</v>
      </c>
      <c r="E408" s="7" t="s">
        <v>12</v>
      </c>
      <c r="F408" s="7" t="s">
        <v>10</v>
      </c>
      <c r="G408" s="7">
        <v>3260.199</v>
      </c>
      <c r="H408" s="3"/>
    </row>
    <row r="409" ht="14.25" customHeight="1">
      <c r="A409" s="7">
        <v>52.0</v>
      </c>
      <c r="B409" s="7" t="s">
        <v>8</v>
      </c>
      <c r="C409" s="7">
        <v>38.38</v>
      </c>
      <c r="D409" s="7">
        <v>2.0</v>
      </c>
      <c r="E409" s="7" t="s">
        <v>12</v>
      </c>
      <c r="F409" s="7" t="s">
        <v>15</v>
      </c>
      <c r="G409" s="7">
        <v>11396.9002</v>
      </c>
      <c r="H409" s="3"/>
    </row>
    <row r="410" ht="14.25" customHeight="1">
      <c r="A410" s="7">
        <v>33.0</v>
      </c>
      <c r="B410" s="7" t="s">
        <v>8</v>
      </c>
      <c r="C410" s="7">
        <v>24.31</v>
      </c>
      <c r="D410" s="7">
        <v>0.0</v>
      </c>
      <c r="E410" s="7" t="s">
        <v>12</v>
      </c>
      <c r="F410" s="7" t="s">
        <v>13</v>
      </c>
      <c r="G410" s="7">
        <v>4185.0979</v>
      </c>
      <c r="H410" s="3"/>
    </row>
    <row r="411" ht="14.25" customHeight="1">
      <c r="A411" s="7">
        <v>47.0</v>
      </c>
      <c r="B411" s="7" t="s">
        <v>8</v>
      </c>
      <c r="C411" s="7">
        <v>23.6</v>
      </c>
      <c r="D411" s="7">
        <v>1.0</v>
      </c>
      <c r="E411" s="7" t="s">
        <v>12</v>
      </c>
      <c r="F411" s="7" t="s">
        <v>10</v>
      </c>
      <c r="G411" s="7">
        <v>8539.671</v>
      </c>
      <c r="H411" s="3"/>
    </row>
    <row r="412" ht="14.25" customHeight="1">
      <c r="A412" s="7">
        <v>38.0</v>
      </c>
      <c r="B412" s="7" t="s">
        <v>11</v>
      </c>
      <c r="C412" s="7">
        <v>21.12</v>
      </c>
      <c r="D412" s="7">
        <v>3.0</v>
      </c>
      <c r="E412" s="7" t="s">
        <v>12</v>
      </c>
      <c r="F412" s="7" t="s">
        <v>13</v>
      </c>
      <c r="G412" s="7">
        <v>6652.5288</v>
      </c>
      <c r="H412" s="3"/>
    </row>
    <row r="413" ht="14.25" customHeight="1">
      <c r="A413" s="7">
        <v>32.0</v>
      </c>
      <c r="B413" s="7" t="s">
        <v>11</v>
      </c>
      <c r="C413" s="7">
        <v>30.03</v>
      </c>
      <c r="D413" s="7">
        <v>1.0</v>
      </c>
      <c r="E413" s="7" t="s">
        <v>12</v>
      </c>
      <c r="F413" s="7" t="s">
        <v>13</v>
      </c>
      <c r="G413" s="7">
        <v>4074.4537</v>
      </c>
      <c r="H413" s="3"/>
    </row>
    <row r="414" ht="14.25" customHeight="1">
      <c r="A414" s="7">
        <v>19.0</v>
      </c>
      <c r="B414" s="7" t="s">
        <v>11</v>
      </c>
      <c r="C414" s="7">
        <v>17.48</v>
      </c>
      <c r="D414" s="7">
        <v>0.0</v>
      </c>
      <c r="E414" s="7" t="s">
        <v>12</v>
      </c>
      <c r="F414" s="7" t="s">
        <v>14</v>
      </c>
      <c r="G414" s="7">
        <v>1621.3402</v>
      </c>
      <c r="H414" s="3"/>
    </row>
    <row r="415" ht="14.25" customHeight="1">
      <c r="A415" s="7">
        <v>44.0</v>
      </c>
      <c r="B415" s="7" t="s">
        <v>8</v>
      </c>
      <c r="C415" s="7">
        <v>20.235</v>
      </c>
      <c r="D415" s="7">
        <v>1.0</v>
      </c>
      <c r="E415" s="7" t="s">
        <v>9</v>
      </c>
      <c r="F415" s="7" t="s">
        <v>15</v>
      </c>
      <c r="G415" s="7">
        <v>19594.80965</v>
      </c>
      <c r="H415" s="3"/>
    </row>
    <row r="416" ht="14.25" customHeight="1">
      <c r="A416" s="7">
        <v>26.0</v>
      </c>
      <c r="B416" s="7" t="s">
        <v>8</v>
      </c>
      <c r="C416" s="7">
        <v>17.195</v>
      </c>
      <c r="D416" s="7">
        <v>2.0</v>
      </c>
      <c r="E416" s="7" t="s">
        <v>9</v>
      </c>
      <c r="F416" s="7" t="s">
        <v>15</v>
      </c>
      <c r="G416" s="7">
        <v>14455.64405</v>
      </c>
      <c r="H416" s="3"/>
    </row>
    <row r="417" ht="14.25" customHeight="1">
      <c r="A417" s="7">
        <v>25.0</v>
      </c>
      <c r="B417" s="7" t="s">
        <v>11</v>
      </c>
      <c r="C417" s="7">
        <v>23.9</v>
      </c>
      <c r="D417" s="7">
        <v>5.0</v>
      </c>
      <c r="E417" s="7" t="s">
        <v>12</v>
      </c>
      <c r="F417" s="7" t="s">
        <v>10</v>
      </c>
      <c r="G417" s="7">
        <v>5080.096</v>
      </c>
      <c r="H417" s="3"/>
    </row>
    <row r="418" ht="14.25" customHeight="1">
      <c r="A418" s="7">
        <v>19.0</v>
      </c>
      <c r="B418" s="7" t="s">
        <v>8</v>
      </c>
      <c r="C418" s="7">
        <v>35.15</v>
      </c>
      <c r="D418" s="7">
        <v>0.0</v>
      </c>
      <c r="E418" s="7" t="s">
        <v>12</v>
      </c>
      <c r="F418" s="7" t="s">
        <v>14</v>
      </c>
      <c r="G418" s="7">
        <v>2134.9015</v>
      </c>
      <c r="H418" s="3"/>
    </row>
    <row r="419" ht="14.25" customHeight="1">
      <c r="A419" s="7">
        <v>43.0</v>
      </c>
      <c r="B419" s="7" t="s">
        <v>8</v>
      </c>
      <c r="C419" s="7">
        <v>35.64</v>
      </c>
      <c r="D419" s="7">
        <v>1.0</v>
      </c>
      <c r="E419" s="7" t="s">
        <v>12</v>
      </c>
      <c r="F419" s="7" t="s">
        <v>13</v>
      </c>
      <c r="G419" s="7">
        <v>7345.7266</v>
      </c>
      <c r="H419" s="3"/>
    </row>
    <row r="420" ht="14.25" customHeight="1">
      <c r="A420" s="7">
        <v>52.0</v>
      </c>
      <c r="B420" s="7" t="s">
        <v>11</v>
      </c>
      <c r="C420" s="7">
        <v>34.1</v>
      </c>
      <c r="D420" s="7">
        <v>0.0</v>
      </c>
      <c r="E420" s="7" t="s">
        <v>12</v>
      </c>
      <c r="F420" s="7" t="s">
        <v>13</v>
      </c>
      <c r="G420" s="7">
        <v>9140.951</v>
      </c>
      <c r="H420" s="3"/>
    </row>
    <row r="421" ht="14.25" customHeight="1">
      <c r="A421" s="7">
        <v>36.0</v>
      </c>
      <c r="B421" s="7" t="s">
        <v>8</v>
      </c>
      <c r="C421" s="7">
        <v>22.6</v>
      </c>
      <c r="D421" s="7">
        <v>2.0</v>
      </c>
      <c r="E421" s="7" t="s">
        <v>9</v>
      </c>
      <c r="F421" s="7" t="s">
        <v>10</v>
      </c>
      <c r="G421" s="7">
        <v>18608.262</v>
      </c>
      <c r="H421" s="3"/>
    </row>
    <row r="422" ht="14.25" customHeight="1">
      <c r="A422" s="7">
        <v>64.0</v>
      </c>
      <c r="B422" s="7" t="s">
        <v>11</v>
      </c>
      <c r="C422" s="7">
        <v>39.16</v>
      </c>
      <c r="D422" s="7">
        <v>1.0</v>
      </c>
      <c r="E422" s="7" t="s">
        <v>12</v>
      </c>
      <c r="F422" s="7" t="s">
        <v>13</v>
      </c>
      <c r="G422" s="7">
        <v>14418.2804</v>
      </c>
      <c r="H422" s="3"/>
    </row>
    <row r="423" ht="14.25" customHeight="1">
      <c r="A423" s="7">
        <v>63.0</v>
      </c>
      <c r="B423" s="7" t="s">
        <v>8</v>
      </c>
      <c r="C423" s="7">
        <v>26.98</v>
      </c>
      <c r="D423" s="7">
        <v>0.0</v>
      </c>
      <c r="E423" s="7" t="s">
        <v>9</v>
      </c>
      <c r="F423" s="7" t="s">
        <v>14</v>
      </c>
      <c r="G423" s="7">
        <v>28950.4692</v>
      </c>
      <c r="H423" s="3"/>
    </row>
    <row r="424" ht="14.25" customHeight="1">
      <c r="A424" s="7">
        <v>64.0</v>
      </c>
      <c r="B424" s="7" t="s">
        <v>11</v>
      </c>
      <c r="C424" s="7">
        <v>33.88</v>
      </c>
      <c r="D424" s="7">
        <v>0.0</v>
      </c>
      <c r="E424" s="7" t="s">
        <v>9</v>
      </c>
      <c r="F424" s="7" t="s">
        <v>13</v>
      </c>
      <c r="G424" s="7">
        <v>46889.2612</v>
      </c>
      <c r="H424" s="3"/>
    </row>
    <row r="425" ht="14.25" customHeight="1">
      <c r="A425" s="7">
        <v>61.0</v>
      </c>
      <c r="B425" s="7" t="s">
        <v>11</v>
      </c>
      <c r="C425" s="7">
        <v>35.86</v>
      </c>
      <c r="D425" s="7">
        <v>0.0</v>
      </c>
      <c r="E425" s="7" t="s">
        <v>9</v>
      </c>
      <c r="F425" s="7" t="s">
        <v>13</v>
      </c>
      <c r="G425" s="7">
        <v>46599.1084</v>
      </c>
      <c r="H425" s="3"/>
    </row>
    <row r="426" ht="14.25" customHeight="1">
      <c r="A426" s="7">
        <v>40.0</v>
      </c>
      <c r="B426" s="7" t="s">
        <v>11</v>
      </c>
      <c r="C426" s="7">
        <v>32.775</v>
      </c>
      <c r="D426" s="7">
        <v>1.0</v>
      </c>
      <c r="E426" s="7" t="s">
        <v>9</v>
      </c>
      <c r="F426" s="7" t="s">
        <v>15</v>
      </c>
      <c r="G426" s="7">
        <v>39125.33225</v>
      </c>
      <c r="H426" s="3"/>
    </row>
    <row r="427" ht="14.25" customHeight="1">
      <c r="A427" s="7">
        <v>25.0</v>
      </c>
      <c r="B427" s="7" t="s">
        <v>11</v>
      </c>
      <c r="C427" s="7">
        <v>30.59</v>
      </c>
      <c r="D427" s="7">
        <v>0.0</v>
      </c>
      <c r="E427" s="7" t="s">
        <v>12</v>
      </c>
      <c r="F427" s="7" t="s">
        <v>15</v>
      </c>
      <c r="G427" s="7">
        <v>2727.3951</v>
      </c>
      <c r="H427" s="3"/>
    </row>
    <row r="428" ht="14.25" customHeight="1">
      <c r="A428" s="7">
        <v>48.0</v>
      </c>
      <c r="B428" s="7" t="s">
        <v>11</v>
      </c>
      <c r="C428" s="7">
        <v>30.2</v>
      </c>
      <c r="D428" s="7">
        <v>2.0</v>
      </c>
      <c r="E428" s="7" t="s">
        <v>12</v>
      </c>
      <c r="F428" s="7" t="s">
        <v>10</v>
      </c>
      <c r="G428" s="7">
        <v>8968.33</v>
      </c>
      <c r="H428" s="3"/>
    </row>
    <row r="429" ht="14.25" customHeight="1">
      <c r="A429" s="7">
        <v>45.0</v>
      </c>
      <c r="B429" s="7" t="s">
        <v>11</v>
      </c>
      <c r="C429" s="7">
        <v>24.31</v>
      </c>
      <c r="D429" s="7">
        <v>5.0</v>
      </c>
      <c r="E429" s="7" t="s">
        <v>12</v>
      </c>
      <c r="F429" s="7" t="s">
        <v>13</v>
      </c>
      <c r="G429" s="7">
        <v>9788.8659</v>
      </c>
      <c r="H429" s="3"/>
    </row>
    <row r="430" ht="14.25" customHeight="1">
      <c r="A430" s="7">
        <v>38.0</v>
      </c>
      <c r="B430" s="7" t="s">
        <v>8</v>
      </c>
      <c r="C430" s="7">
        <v>27.265</v>
      </c>
      <c r="D430" s="7">
        <v>1.0</v>
      </c>
      <c r="E430" s="7" t="s">
        <v>12</v>
      </c>
      <c r="F430" s="7" t="s">
        <v>15</v>
      </c>
      <c r="G430" s="7">
        <v>6555.07035</v>
      </c>
      <c r="H430" s="3"/>
    </row>
    <row r="431" ht="14.25" customHeight="1">
      <c r="A431" s="7">
        <v>18.0</v>
      </c>
      <c r="B431" s="7" t="s">
        <v>8</v>
      </c>
      <c r="C431" s="7">
        <v>29.165</v>
      </c>
      <c r="D431" s="7">
        <v>0.0</v>
      </c>
      <c r="E431" s="7" t="s">
        <v>12</v>
      </c>
      <c r="F431" s="7" t="s">
        <v>15</v>
      </c>
      <c r="G431" s="7">
        <v>7323.734819</v>
      </c>
      <c r="H431" s="3"/>
    </row>
    <row r="432" ht="14.25" customHeight="1">
      <c r="A432" s="7">
        <v>21.0</v>
      </c>
      <c r="B432" s="7" t="s">
        <v>8</v>
      </c>
      <c r="C432" s="7">
        <v>16.815</v>
      </c>
      <c r="D432" s="7">
        <v>1.0</v>
      </c>
      <c r="E432" s="7" t="s">
        <v>12</v>
      </c>
      <c r="F432" s="7" t="s">
        <v>15</v>
      </c>
      <c r="G432" s="7">
        <v>3167.45585</v>
      </c>
      <c r="H432" s="3"/>
    </row>
    <row r="433" ht="14.25" customHeight="1">
      <c r="A433" s="7">
        <v>27.0</v>
      </c>
      <c r="B433" s="7" t="s">
        <v>8</v>
      </c>
      <c r="C433" s="7">
        <v>30.4</v>
      </c>
      <c r="D433" s="7">
        <v>3.0</v>
      </c>
      <c r="E433" s="7" t="s">
        <v>12</v>
      </c>
      <c r="F433" s="7" t="s">
        <v>14</v>
      </c>
      <c r="G433" s="7">
        <v>18804.7524</v>
      </c>
      <c r="H433" s="3"/>
    </row>
    <row r="434" ht="14.25" customHeight="1">
      <c r="A434" s="7">
        <v>19.0</v>
      </c>
      <c r="B434" s="7" t="s">
        <v>11</v>
      </c>
      <c r="C434" s="7">
        <v>33.1</v>
      </c>
      <c r="D434" s="7">
        <v>0.0</v>
      </c>
      <c r="E434" s="7" t="s">
        <v>12</v>
      </c>
      <c r="F434" s="7" t="s">
        <v>10</v>
      </c>
      <c r="G434" s="7">
        <v>23082.95533</v>
      </c>
      <c r="H434" s="3"/>
    </row>
    <row r="435" ht="14.25" customHeight="1">
      <c r="A435" s="7">
        <v>29.0</v>
      </c>
      <c r="B435" s="7" t="s">
        <v>8</v>
      </c>
      <c r="C435" s="7">
        <v>20.235</v>
      </c>
      <c r="D435" s="7">
        <v>2.0</v>
      </c>
      <c r="E435" s="7" t="s">
        <v>12</v>
      </c>
      <c r="F435" s="7" t="s">
        <v>14</v>
      </c>
      <c r="G435" s="7">
        <v>4906.40965</v>
      </c>
      <c r="H435" s="3"/>
    </row>
    <row r="436" ht="14.25" customHeight="1">
      <c r="A436" s="7">
        <v>42.0</v>
      </c>
      <c r="B436" s="7" t="s">
        <v>11</v>
      </c>
      <c r="C436" s="7">
        <v>26.9</v>
      </c>
      <c r="D436" s="7">
        <v>0.0</v>
      </c>
      <c r="E436" s="7" t="s">
        <v>12</v>
      </c>
      <c r="F436" s="7" t="s">
        <v>10</v>
      </c>
      <c r="G436" s="7">
        <v>5969.723</v>
      </c>
      <c r="H436" s="3"/>
    </row>
    <row r="437" ht="14.25" customHeight="1">
      <c r="A437" s="7">
        <v>60.0</v>
      </c>
      <c r="B437" s="7" t="s">
        <v>8</v>
      </c>
      <c r="C437" s="7">
        <v>30.5</v>
      </c>
      <c r="D437" s="7">
        <v>0.0</v>
      </c>
      <c r="E437" s="7" t="s">
        <v>12</v>
      </c>
      <c r="F437" s="7" t="s">
        <v>10</v>
      </c>
      <c r="G437" s="7">
        <v>12638.195</v>
      </c>
      <c r="H437" s="3"/>
    </row>
    <row r="438" ht="14.25" customHeight="1">
      <c r="A438" s="7">
        <v>31.0</v>
      </c>
      <c r="B438" s="7" t="s">
        <v>11</v>
      </c>
      <c r="C438" s="7">
        <v>28.595</v>
      </c>
      <c r="D438" s="7">
        <v>1.0</v>
      </c>
      <c r="E438" s="7" t="s">
        <v>12</v>
      </c>
      <c r="F438" s="7" t="s">
        <v>14</v>
      </c>
      <c r="G438" s="7">
        <v>4243.59005</v>
      </c>
      <c r="H438" s="3"/>
    </row>
    <row r="439" ht="14.25" customHeight="1">
      <c r="A439" s="7">
        <v>60.0</v>
      </c>
      <c r="B439" s="7" t="s">
        <v>11</v>
      </c>
      <c r="C439" s="7">
        <v>33.11</v>
      </c>
      <c r="D439" s="7">
        <v>3.0</v>
      </c>
      <c r="E439" s="7" t="s">
        <v>12</v>
      </c>
      <c r="F439" s="7" t="s">
        <v>13</v>
      </c>
      <c r="G439" s="7">
        <v>13919.8229</v>
      </c>
      <c r="H439" s="3"/>
    </row>
    <row r="440" ht="14.25" customHeight="1">
      <c r="A440" s="7">
        <v>22.0</v>
      </c>
      <c r="B440" s="7" t="s">
        <v>11</v>
      </c>
      <c r="C440" s="7">
        <v>31.73</v>
      </c>
      <c r="D440" s="7">
        <v>0.0</v>
      </c>
      <c r="E440" s="7" t="s">
        <v>12</v>
      </c>
      <c r="F440" s="7" t="s">
        <v>15</v>
      </c>
      <c r="G440" s="7">
        <v>2254.7967</v>
      </c>
      <c r="H440" s="3"/>
    </row>
    <row r="441" ht="14.25" customHeight="1">
      <c r="A441" s="7">
        <v>35.0</v>
      </c>
      <c r="B441" s="7" t="s">
        <v>11</v>
      </c>
      <c r="C441" s="7">
        <v>28.9</v>
      </c>
      <c r="D441" s="7">
        <v>3.0</v>
      </c>
      <c r="E441" s="7" t="s">
        <v>12</v>
      </c>
      <c r="F441" s="7" t="s">
        <v>10</v>
      </c>
      <c r="G441" s="7">
        <v>5926.846</v>
      </c>
      <c r="H441" s="3"/>
    </row>
    <row r="442" ht="14.25" customHeight="1">
      <c r="A442" s="7">
        <v>52.0</v>
      </c>
      <c r="B442" s="7" t="s">
        <v>8</v>
      </c>
      <c r="C442" s="7">
        <v>46.75</v>
      </c>
      <c r="D442" s="7">
        <v>5.0</v>
      </c>
      <c r="E442" s="7" t="s">
        <v>12</v>
      </c>
      <c r="F442" s="7" t="s">
        <v>13</v>
      </c>
      <c r="G442" s="7">
        <v>12592.5345</v>
      </c>
      <c r="H442" s="3"/>
    </row>
    <row r="443" ht="14.25" customHeight="1">
      <c r="A443" s="7">
        <v>26.0</v>
      </c>
      <c r="B443" s="7" t="s">
        <v>11</v>
      </c>
      <c r="C443" s="7">
        <v>29.45</v>
      </c>
      <c r="D443" s="7">
        <v>0.0</v>
      </c>
      <c r="E443" s="7" t="s">
        <v>12</v>
      </c>
      <c r="F443" s="7" t="s">
        <v>15</v>
      </c>
      <c r="G443" s="7">
        <v>2897.3235</v>
      </c>
      <c r="H443" s="3"/>
    </row>
    <row r="444" ht="14.25" customHeight="1">
      <c r="A444" s="7">
        <v>31.0</v>
      </c>
      <c r="B444" s="7" t="s">
        <v>8</v>
      </c>
      <c r="C444" s="7">
        <v>32.68</v>
      </c>
      <c r="D444" s="7">
        <v>1.0</v>
      </c>
      <c r="E444" s="7" t="s">
        <v>12</v>
      </c>
      <c r="F444" s="7" t="s">
        <v>14</v>
      </c>
      <c r="G444" s="7">
        <v>4738.2682</v>
      </c>
      <c r="H444" s="3"/>
    </row>
    <row r="445" ht="14.25" customHeight="1">
      <c r="A445" s="7">
        <v>33.0</v>
      </c>
      <c r="B445" s="7" t="s">
        <v>8</v>
      </c>
      <c r="C445" s="7">
        <v>33.5</v>
      </c>
      <c r="D445" s="7">
        <v>0.0</v>
      </c>
      <c r="E445" s="7" t="s">
        <v>9</v>
      </c>
      <c r="F445" s="7" t="s">
        <v>10</v>
      </c>
      <c r="G445" s="7">
        <v>37079.372</v>
      </c>
      <c r="H445" s="3"/>
    </row>
    <row r="446" ht="14.25" customHeight="1">
      <c r="A446" s="7">
        <v>18.0</v>
      </c>
      <c r="B446" s="7" t="s">
        <v>11</v>
      </c>
      <c r="C446" s="7">
        <v>43.01</v>
      </c>
      <c r="D446" s="7">
        <v>0.0</v>
      </c>
      <c r="E446" s="7" t="s">
        <v>12</v>
      </c>
      <c r="F446" s="7" t="s">
        <v>13</v>
      </c>
      <c r="G446" s="7">
        <v>1149.3959</v>
      </c>
      <c r="H446" s="3"/>
    </row>
    <row r="447" ht="14.25" customHeight="1">
      <c r="A447" s="7">
        <v>59.0</v>
      </c>
      <c r="B447" s="7" t="s">
        <v>8</v>
      </c>
      <c r="C447" s="7">
        <v>36.52</v>
      </c>
      <c r="D447" s="7">
        <v>1.0</v>
      </c>
      <c r="E447" s="7" t="s">
        <v>12</v>
      </c>
      <c r="F447" s="7" t="s">
        <v>13</v>
      </c>
      <c r="G447" s="7">
        <v>28287.89766</v>
      </c>
      <c r="H447" s="3"/>
    </row>
    <row r="448" ht="14.25" customHeight="1">
      <c r="A448" s="7">
        <v>56.0</v>
      </c>
      <c r="B448" s="7" t="s">
        <v>11</v>
      </c>
      <c r="C448" s="7">
        <v>26.695</v>
      </c>
      <c r="D448" s="7">
        <v>1.0</v>
      </c>
      <c r="E448" s="7" t="s">
        <v>9</v>
      </c>
      <c r="F448" s="7" t="s">
        <v>14</v>
      </c>
      <c r="G448" s="7">
        <v>26109.32905</v>
      </c>
      <c r="H448" s="3"/>
    </row>
    <row r="449" ht="14.25" customHeight="1">
      <c r="A449" s="7">
        <v>45.0</v>
      </c>
      <c r="B449" s="7" t="s">
        <v>8</v>
      </c>
      <c r="C449" s="7">
        <v>33.1</v>
      </c>
      <c r="D449" s="7">
        <v>0.0</v>
      </c>
      <c r="E449" s="7" t="s">
        <v>12</v>
      </c>
      <c r="F449" s="7" t="s">
        <v>10</v>
      </c>
      <c r="G449" s="7">
        <v>7345.084</v>
      </c>
      <c r="H449" s="3"/>
    </row>
    <row r="450" ht="14.25" customHeight="1">
      <c r="A450" s="7">
        <v>60.0</v>
      </c>
      <c r="B450" s="7" t="s">
        <v>11</v>
      </c>
      <c r="C450" s="7">
        <v>29.64</v>
      </c>
      <c r="D450" s="7">
        <v>0.0</v>
      </c>
      <c r="E450" s="7" t="s">
        <v>12</v>
      </c>
      <c r="F450" s="7" t="s">
        <v>15</v>
      </c>
      <c r="G450" s="7">
        <v>12730.9996</v>
      </c>
      <c r="H450" s="3"/>
    </row>
    <row r="451" ht="14.25" customHeight="1">
      <c r="A451" s="7">
        <v>56.0</v>
      </c>
      <c r="B451" s="7" t="s">
        <v>8</v>
      </c>
      <c r="C451" s="7">
        <v>25.65</v>
      </c>
      <c r="D451" s="7">
        <v>0.0</v>
      </c>
      <c r="E451" s="7" t="s">
        <v>12</v>
      </c>
      <c r="F451" s="7" t="s">
        <v>14</v>
      </c>
      <c r="G451" s="7">
        <v>11454.0215</v>
      </c>
      <c r="H451" s="3"/>
    </row>
    <row r="452" ht="14.25" customHeight="1">
      <c r="A452" s="7">
        <v>40.0</v>
      </c>
      <c r="B452" s="7" t="s">
        <v>8</v>
      </c>
      <c r="C452" s="7">
        <v>29.6</v>
      </c>
      <c r="D452" s="7">
        <v>0.0</v>
      </c>
      <c r="E452" s="7" t="s">
        <v>12</v>
      </c>
      <c r="F452" s="7" t="s">
        <v>10</v>
      </c>
      <c r="G452" s="7">
        <v>5910.944</v>
      </c>
      <c r="H452" s="3"/>
    </row>
    <row r="453" ht="14.25" customHeight="1">
      <c r="A453" s="7">
        <v>35.0</v>
      </c>
      <c r="B453" s="7" t="s">
        <v>11</v>
      </c>
      <c r="C453" s="7">
        <v>38.6</v>
      </c>
      <c r="D453" s="7">
        <v>1.0</v>
      </c>
      <c r="E453" s="7" t="s">
        <v>12</v>
      </c>
      <c r="F453" s="7" t="s">
        <v>10</v>
      </c>
      <c r="G453" s="7">
        <v>4762.329</v>
      </c>
      <c r="H453" s="3"/>
    </row>
    <row r="454" ht="14.25" customHeight="1">
      <c r="A454" s="7">
        <v>39.0</v>
      </c>
      <c r="B454" s="7" t="s">
        <v>11</v>
      </c>
      <c r="C454" s="7">
        <v>29.6</v>
      </c>
      <c r="D454" s="7">
        <v>4.0</v>
      </c>
      <c r="E454" s="7" t="s">
        <v>12</v>
      </c>
      <c r="F454" s="7" t="s">
        <v>10</v>
      </c>
      <c r="G454" s="7">
        <v>7512.267</v>
      </c>
      <c r="H454" s="3"/>
    </row>
    <row r="455" ht="14.25" customHeight="1">
      <c r="A455" s="7">
        <v>30.0</v>
      </c>
      <c r="B455" s="7" t="s">
        <v>11</v>
      </c>
      <c r="C455" s="7">
        <v>24.13</v>
      </c>
      <c r="D455" s="7">
        <v>1.0</v>
      </c>
      <c r="E455" s="7" t="s">
        <v>12</v>
      </c>
      <c r="F455" s="7" t="s">
        <v>14</v>
      </c>
      <c r="G455" s="7">
        <v>4032.2407</v>
      </c>
      <c r="H455" s="3"/>
    </row>
    <row r="456" ht="14.25" customHeight="1">
      <c r="A456" s="7">
        <v>24.0</v>
      </c>
      <c r="B456" s="7" t="s">
        <v>11</v>
      </c>
      <c r="C456" s="7">
        <v>23.4</v>
      </c>
      <c r="D456" s="7">
        <v>0.0</v>
      </c>
      <c r="E456" s="7" t="s">
        <v>12</v>
      </c>
      <c r="F456" s="7" t="s">
        <v>10</v>
      </c>
      <c r="G456" s="7">
        <v>1969.614</v>
      </c>
      <c r="H456" s="3"/>
    </row>
    <row r="457" ht="14.25" customHeight="1">
      <c r="A457" s="7">
        <v>20.0</v>
      </c>
      <c r="B457" s="7" t="s">
        <v>11</v>
      </c>
      <c r="C457" s="7">
        <v>29.735</v>
      </c>
      <c r="D457" s="7">
        <v>0.0</v>
      </c>
      <c r="E457" s="7" t="s">
        <v>12</v>
      </c>
      <c r="F457" s="7" t="s">
        <v>14</v>
      </c>
      <c r="G457" s="7">
        <v>1769.53165</v>
      </c>
      <c r="H457" s="3"/>
    </row>
    <row r="458" ht="14.25" customHeight="1">
      <c r="A458" s="7">
        <v>32.0</v>
      </c>
      <c r="B458" s="7" t="s">
        <v>11</v>
      </c>
      <c r="C458" s="7">
        <v>46.53</v>
      </c>
      <c r="D458" s="7">
        <v>2.0</v>
      </c>
      <c r="E458" s="7" t="s">
        <v>12</v>
      </c>
      <c r="F458" s="7" t="s">
        <v>13</v>
      </c>
      <c r="G458" s="7">
        <v>4686.3887</v>
      </c>
      <c r="H458" s="3"/>
    </row>
    <row r="459" ht="14.25" customHeight="1">
      <c r="A459" s="7">
        <v>59.0</v>
      </c>
      <c r="B459" s="7" t="s">
        <v>11</v>
      </c>
      <c r="C459" s="7">
        <v>37.4</v>
      </c>
      <c r="D459" s="7">
        <v>0.0</v>
      </c>
      <c r="E459" s="7" t="s">
        <v>12</v>
      </c>
      <c r="F459" s="7" t="s">
        <v>10</v>
      </c>
      <c r="G459" s="7">
        <v>21797.0004</v>
      </c>
      <c r="H459" s="3"/>
    </row>
    <row r="460" ht="14.25" customHeight="1">
      <c r="A460" s="7">
        <v>55.0</v>
      </c>
      <c r="B460" s="7" t="s">
        <v>8</v>
      </c>
      <c r="C460" s="7">
        <v>30.14</v>
      </c>
      <c r="D460" s="7">
        <v>2.0</v>
      </c>
      <c r="E460" s="7" t="s">
        <v>12</v>
      </c>
      <c r="F460" s="7" t="s">
        <v>13</v>
      </c>
      <c r="G460" s="7">
        <v>11881.9696</v>
      </c>
      <c r="H460" s="3"/>
    </row>
    <row r="461" ht="14.25" customHeight="1">
      <c r="A461" s="7">
        <v>57.0</v>
      </c>
      <c r="B461" s="7" t="s">
        <v>8</v>
      </c>
      <c r="C461" s="7">
        <v>30.495</v>
      </c>
      <c r="D461" s="7">
        <v>0.0</v>
      </c>
      <c r="E461" s="7" t="s">
        <v>12</v>
      </c>
      <c r="F461" s="7" t="s">
        <v>14</v>
      </c>
      <c r="G461" s="7">
        <v>11840.77505</v>
      </c>
      <c r="H461" s="3"/>
    </row>
    <row r="462" ht="14.25" customHeight="1">
      <c r="A462" s="7">
        <v>56.0</v>
      </c>
      <c r="B462" s="7" t="s">
        <v>11</v>
      </c>
      <c r="C462" s="7">
        <v>39.6</v>
      </c>
      <c r="D462" s="7">
        <v>0.0</v>
      </c>
      <c r="E462" s="7" t="s">
        <v>12</v>
      </c>
      <c r="F462" s="7" t="s">
        <v>10</v>
      </c>
      <c r="G462" s="7">
        <v>10601.412</v>
      </c>
      <c r="H462" s="3"/>
    </row>
    <row r="463" ht="14.25" customHeight="1">
      <c r="A463" s="7">
        <v>40.0</v>
      </c>
      <c r="B463" s="7" t="s">
        <v>8</v>
      </c>
      <c r="C463" s="7">
        <v>33.0</v>
      </c>
      <c r="D463" s="7">
        <v>3.0</v>
      </c>
      <c r="E463" s="7" t="s">
        <v>12</v>
      </c>
      <c r="F463" s="7" t="s">
        <v>13</v>
      </c>
      <c r="G463" s="7">
        <v>7682.67</v>
      </c>
      <c r="H463" s="3"/>
    </row>
    <row r="464" ht="14.25" customHeight="1">
      <c r="A464" s="7">
        <v>49.0</v>
      </c>
      <c r="B464" s="7" t="s">
        <v>8</v>
      </c>
      <c r="C464" s="7">
        <v>36.63</v>
      </c>
      <c r="D464" s="7">
        <v>3.0</v>
      </c>
      <c r="E464" s="7" t="s">
        <v>12</v>
      </c>
      <c r="F464" s="7" t="s">
        <v>13</v>
      </c>
      <c r="G464" s="7">
        <v>10381.4787</v>
      </c>
      <c r="H464" s="3"/>
    </row>
    <row r="465" ht="14.25" customHeight="1">
      <c r="A465" s="7">
        <v>42.0</v>
      </c>
      <c r="B465" s="7" t="s">
        <v>11</v>
      </c>
      <c r="C465" s="7">
        <v>30.0</v>
      </c>
      <c r="D465" s="7">
        <v>0.0</v>
      </c>
      <c r="E465" s="7" t="s">
        <v>9</v>
      </c>
      <c r="F465" s="7" t="s">
        <v>10</v>
      </c>
      <c r="G465" s="7">
        <v>22144.032</v>
      </c>
      <c r="H465" s="3"/>
    </row>
    <row r="466" ht="14.25" customHeight="1">
      <c r="A466" s="7">
        <v>62.0</v>
      </c>
      <c r="B466" s="7" t="s">
        <v>8</v>
      </c>
      <c r="C466" s="7">
        <v>38.095</v>
      </c>
      <c r="D466" s="7">
        <v>2.0</v>
      </c>
      <c r="E466" s="7" t="s">
        <v>12</v>
      </c>
      <c r="F466" s="7" t="s">
        <v>15</v>
      </c>
      <c r="G466" s="7">
        <v>15230.32405</v>
      </c>
      <c r="H466" s="3"/>
    </row>
    <row r="467" ht="14.25" customHeight="1">
      <c r="A467" s="7">
        <v>56.0</v>
      </c>
      <c r="B467" s="7" t="s">
        <v>11</v>
      </c>
      <c r="C467" s="7">
        <v>25.935</v>
      </c>
      <c r="D467" s="7">
        <v>0.0</v>
      </c>
      <c r="E467" s="7" t="s">
        <v>12</v>
      </c>
      <c r="F467" s="7" t="s">
        <v>15</v>
      </c>
      <c r="G467" s="7">
        <v>11165.41765</v>
      </c>
      <c r="H467" s="3"/>
    </row>
    <row r="468" ht="14.25" customHeight="1">
      <c r="A468" s="7">
        <v>19.0</v>
      </c>
      <c r="B468" s="7" t="s">
        <v>11</v>
      </c>
      <c r="C468" s="7">
        <v>25.175</v>
      </c>
      <c r="D468" s="7">
        <v>0.0</v>
      </c>
      <c r="E468" s="7" t="s">
        <v>12</v>
      </c>
      <c r="F468" s="7" t="s">
        <v>14</v>
      </c>
      <c r="G468" s="7">
        <v>1632.03625</v>
      </c>
      <c r="H468" s="3"/>
    </row>
    <row r="469" ht="14.25" customHeight="1">
      <c r="A469" s="7">
        <v>30.0</v>
      </c>
      <c r="B469" s="7" t="s">
        <v>8</v>
      </c>
      <c r="C469" s="7">
        <v>28.38</v>
      </c>
      <c r="D469" s="7">
        <v>1.0</v>
      </c>
      <c r="E469" s="7" t="s">
        <v>9</v>
      </c>
      <c r="F469" s="7" t="s">
        <v>13</v>
      </c>
      <c r="G469" s="7">
        <v>19521.9682</v>
      </c>
      <c r="H469" s="3"/>
    </row>
    <row r="470" ht="14.25" customHeight="1">
      <c r="A470" s="7">
        <v>60.0</v>
      </c>
      <c r="B470" s="7" t="s">
        <v>8</v>
      </c>
      <c r="C470" s="7">
        <v>28.7</v>
      </c>
      <c r="D470" s="7">
        <v>1.0</v>
      </c>
      <c r="E470" s="7" t="s">
        <v>12</v>
      </c>
      <c r="F470" s="7" t="s">
        <v>10</v>
      </c>
      <c r="G470" s="7">
        <v>13224.693</v>
      </c>
      <c r="H470" s="3"/>
    </row>
    <row r="471" ht="14.25" customHeight="1">
      <c r="A471" s="7">
        <v>56.0</v>
      </c>
      <c r="B471" s="7" t="s">
        <v>8</v>
      </c>
      <c r="C471" s="7">
        <v>33.82</v>
      </c>
      <c r="D471" s="7">
        <v>2.0</v>
      </c>
      <c r="E471" s="7" t="s">
        <v>12</v>
      </c>
      <c r="F471" s="7" t="s">
        <v>14</v>
      </c>
      <c r="G471" s="7">
        <v>12643.3778</v>
      </c>
      <c r="H471" s="3"/>
    </row>
    <row r="472" ht="14.25" customHeight="1">
      <c r="A472" s="7">
        <v>28.0</v>
      </c>
      <c r="B472" s="7" t="s">
        <v>8</v>
      </c>
      <c r="C472" s="7">
        <v>24.32</v>
      </c>
      <c r="D472" s="7">
        <v>1.0</v>
      </c>
      <c r="E472" s="7" t="s">
        <v>12</v>
      </c>
      <c r="F472" s="7" t="s">
        <v>15</v>
      </c>
      <c r="G472" s="7">
        <v>23288.9284</v>
      </c>
      <c r="H472" s="3"/>
    </row>
    <row r="473" ht="14.25" customHeight="1">
      <c r="A473" s="7">
        <v>18.0</v>
      </c>
      <c r="B473" s="7" t="s">
        <v>8</v>
      </c>
      <c r="C473" s="7">
        <v>24.09</v>
      </c>
      <c r="D473" s="7">
        <v>1.0</v>
      </c>
      <c r="E473" s="7" t="s">
        <v>12</v>
      </c>
      <c r="F473" s="7" t="s">
        <v>13</v>
      </c>
      <c r="G473" s="7">
        <v>2201.0971</v>
      </c>
      <c r="H473" s="3"/>
    </row>
    <row r="474" ht="14.25" customHeight="1">
      <c r="A474" s="7">
        <v>27.0</v>
      </c>
      <c r="B474" s="7" t="s">
        <v>11</v>
      </c>
      <c r="C474" s="7">
        <v>32.67</v>
      </c>
      <c r="D474" s="7">
        <v>0.0</v>
      </c>
      <c r="E474" s="7" t="s">
        <v>12</v>
      </c>
      <c r="F474" s="7" t="s">
        <v>13</v>
      </c>
      <c r="G474" s="7">
        <v>2497.0383</v>
      </c>
      <c r="H474" s="3"/>
    </row>
    <row r="475" ht="14.25" customHeight="1">
      <c r="A475" s="7">
        <v>18.0</v>
      </c>
      <c r="B475" s="7" t="s">
        <v>8</v>
      </c>
      <c r="C475" s="7">
        <v>30.115</v>
      </c>
      <c r="D475" s="7">
        <v>0.0</v>
      </c>
      <c r="E475" s="7" t="s">
        <v>12</v>
      </c>
      <c r="F475" s="7" t="s">
        <v>15</v>
      </c>
      <c r="G475" s="7">
        <v>2203.47185</v>
      </c>
      <c r="H475" s="3"/>
    </row>
    <row r="476" ht="14.25" customHeight="1">
      <c r="A476" s="7">
        <v>19.0</v>
      </c>
      <c r="B476" s="7" t="s">
        <v>8</v>
      </c>
      <c r="C476" s="7">
        <v>29.8</v>
      </c>
      <c r="D476" s="7">
        <v>0.0</v>
      </c>
      <c r="E476" s="7" t="s">
        <v>12</v>
      </c>
      <c r="F476" s="7" t="s">
        <v>10</v>
      </c>
      <c r="G476" s="7">
        <v>1744.465</v>
      </c>
      <c r="H476" s="3"/>
    </row>
    <row r="477" ht="14.25" customHeight="1">
      <c r="A477" s="7">
        <v>47.0</v>
      </c>
      <c r="B477" s="7" t="s">
        <v>8</v>
      </c>
      <c r="C477" s="7">
        <v>33.345</v>
      </c>
      <c r="D477" s="7">
        <v>0.0</v>
      </c>
      <c r="E477" s="7" t="s">
        <v>12</v>
      </c>
      <c r="F477" s="7" t="s">
        <v>15</v>
      </c>
      <c r="G477" s="7">
        <v>20878.78443</v>
      </c>
      <c r="H477" s="3"/>
    </row>
    <row r="478" ht="14.25" customHeight="1">
      <c r="A478" s="7">
        <v>54.0</v>
      </c>
      <c r="B478" s="7" t="s">
        <v>11</v>
      </c>
      <c r="C478" s="7">
        <v>25.1</v>
      </c>
      <c r="D478" s="7">
        <v>3.0</v>
      </c>
      <c r="E478" s="7" t="s">
        <v>9</v>
      </c>
      <c r="F478" s="7" t="s">
        <v>10</v>
      </c>
      <c r="G478" s="7">
        <v>25382.297</v>
      </c>
      <c r="H478" s="3"/>
    </row>
    <row r="479" ht="14.25" customHeight="1">
      <c r="A479" s="7">
        <v>61.0</v>
      </c>
      <c r="B479" s="7" t="s">
        <v>11</v>
      </c>
      <c r="C479" s="7">
        <v>28.31</v>
      </c>
      <c r="D479" s="7">
        <v>1.0</v>
      </c>
      <c r="E479" s="7" t="s">
        <v>9</v>
      </c>
      <c r="F479" s="7" t="s">
        <v>14</v>
      </c>
      <c r="G479" s="7">
        <v>28868.6639</v>
      </c>
      <c r="H479" s="3"/>
    </row>
    <row r="480" ht="14.25" customHeight="1">
      <c r="A480" s="7">
        <v>24.0</v>
      </c>
      <c r="B480" s="7" t="s">
        <v>11</v>
      </c>
      <c r="C480" s="7">
        <v>28.5</v>
      </c>
      <c r="D480" s="7">
        <v>0.0</v>
      </c>
      <c r="E480" s="7" t="s">
        <v>9</v>
      </c>
      <c r="F480" s="7" t="s">
        <v>15</v>
      </c>
      <c r="G480" s="7">
        <v>35147.52848</v>
      </c>
      <c r="H480" s="3"/>
    </row>
    <row r="481" ht="14.25" customHeight="1">
      <c r="A481" s="7">
        <v>25.0</v>
      </c>
      <c r="B481" s="7" t="s">
        <v>11</v>
      </c>
      <c r="C481" s="7">
        <v>35.625</v>
      </c>
      <c r="D481" s="7">
        <v>0.0</v>
      </c>
      <c r="E481" s="7" t="s">
        <v>12</v>
      </c>
      <c r="F481" s="7" t="s">
        <v>14</v>
      </c>
      <c r="G481" s="7">
        <v>2534.39375</v>
      </c>
      <c r="H481" s="3"/>
    </row>
    <row r="482" ht="14.25" customHeight="1">
      <c r="A482" s="7">
        <v>21.0</v>
      </c>
      <c r="B482" s="7" t="s">
        <v>11</v>
      </c>
      <c r="C482" s="7">
        <v>36.85</v>
      </c>
      <c r="D482" s="7">
        <v>0.0</v>
      </c>
      <c r="E482" s="7" t="s">
        <v>12</v>
      </c>
      <c r="F482" s="7" t="s">
        <v>13</v>
      </c>
      <c r="G482" s="7">
        <v>1534.3045</v>
      </c>
      <c r="H482" s="3"/>
    </row>
    <row r="483" ht="14.25" customHeight="1">
      <c r="A483" s="7">
        <v>23.0</v>
      </c>
      <c r="B483" s="7" t="s">
        <v>11</v>
      </c>
      <c r="C483" s="7">
        <v>32.56</v>
      </c>
      <c r="D483" s="7">
        <v>0.0</v>
      </c>
      <c r="E483" s="7" t="s">
        <v>12</v>
      </c>
      <c r="F483" s="7" t="s">
        <v>13</v>
      </c>
      <c r="G483" s="7">
        <v>1824.2854</v>
      </c>
      <c r="H483" s="3"/>
    </row>
    <row r="484" ht="14.25" customHeight="1">
      <c r="A484" s="7">
        <v>63.0</v>
      </c>
      <c r="B484" s="7" t="s">
        <v>11</v>
      </c>
      <c r="C484" s="7">
        <v>41.325</v>
      </c>
      <c r="D484" s="7">
        <v>3.0</v>
      </c>
      <c r="E484" s="7" t="s">
        <v>12</v>
      </c>
      <c r="F484" s="7" t="s">
        <v>14</v>
      </c>
      <c r="G484" s="7">
        <v>15555.18875</v>
      </c>
      <c r="H484" s="3"/>
    </row>
    <row r="485" ht="14.25" customHeight="1">
      <c r="A485" s="7">
        <v>49.0</v>
      </c>
      <c r="B485" s="7" t="s">
        <v>11</v>
      </c>
      <c r="C485" s="7">
        <v>37.51</v>
      </c>
      <c r="D485" s="7">
        <v>2.0</v>
      </c>
      <c r="E485" s="7" t="s">
        <v>12</v>
      </c>
      <c r="F485" s="7" t="s">
        <v>13</v>
      </c>
      <c r="G485" s="7">
        <v>9304.7019</v>
      </c>
      <c r="H485" s="3"/>
    </row>
    <row r="486" ht="14.25" customHeight="1">
      <c r="A486" s="7">
        <v>18.0</v>
      </c>
      <c r="B486" s="7" t="s">
        <v>8</v>
      </c>
      <c r="C486" s="7">
        <v>31.35</v>
      </c>
      <c r="D486" s="7">
        <v>0.0</v>
      </c>
      <c r="E486" s="7" t="s">
        <v>12</v>
      </c>
      <c r="F486" s="7" t="s">
        <v>13</v>
      </c>
      <c r="G486" s="7">
        <v>1622.1885</v>
      </c>
      <c r="H486" s="3"/>
    </row>
    <row r="487" ht="14.25" customHeight="1">
      <c r="A487" s="7">
        <v>51.0</v>
      </c>
      <c r="B487" s="7" t="s">
        <v>8</v>
      </c>
      <c r="C487" s="7">
        <v>39.5</v>
      </c>
      <c r="D487" s="7">
        <v>1.0</v>
      </c>
      <c r="E487" s="7" t="s">
        <v>12</v>
      </c>
      <c r="F487" s="7" t="s">
        <v>10</v>
      </c>
      <c r="G487" s="7">
        <v>9880.068</v>
      </c>
      <c r="H487" s="3"/>
    </row>
    <row r="488" ht="14.25" customHeight="1">
      <c r="A488" s="7">
        <v>48.0</v>
      </c>
      <c r="B488" s="7" t="s">
        <v>11</v>
      </c>
      <c r="C488" s="7">
        <v>34.3</v>
      </c>
      <c r="D488" s="7">
        <v>3.0</v>
      </c>
      <c r="E488" s="7" t="s">
        <v>12</v>
      </c>
      <c r="F488" s="7" t="s">
        <v>10</v>
      </c>
      <c r="G488" s="7">
        <v>9563.029</v>
      </c>
      <c r="H488" s="3"/>
    </row>
    <row r="489" ht="14.25" customHeight="1">
      <c r="A489" s="7">
        <v>31.0</v>
      </c>
      <c r="B489" s="7" t="s">
        <v>8</v>
      </c>
      <c r="C489" s="7">
        <v>31.065</v>
      </c>
      <c r="D489" s="7">
        <v>0.0</v>
      </c>
      <c r="E489" s="7" t="s">
        <v>12</v>
      </c>
      <c r="F489" s="7" t="s">
        <v>15</v>
      </c>
      <c r="G489" s="7">
        <v>4347.02335</v>
      </c>
      <c r="H489" s="3"/>
    </row>
    <row r="490" ht="14.25" customHeight="1">
      <c r="A490" s="7">
        <v>54.0</v>
      </c>
      <c r="B490" s="7" t="s">
        <v>8</v>
      </c>
      <c r="C490" s="7">
        <v>21.47</v>
      </c>
      <c r="D490" s="7">
        <v>3.0</v>
      </c>
      <c r="E490" s="7" t="s">
        <v>12</v>
      </c>
      <c r="F490" s="7" t="s">
        <v>14</v>
      </c>
      <c r="G490" s="7">
        <v>12475.3513</v>
      </c>
      <c r="H490" s="3"/>
    </row>
    <row r="491" ht="14.25" customHeight="1">
      <c r="A491" s="7">
        <v>19.0</v>
      </c>
      <c r="B491" s="7" t="s">
        <v>11</v>
      </c>
      <c r="C491" s="7">
        <v>28.7</v>
      </c>
      <c r="D491" s="7">
        <v>0.0</v>
      </c>
      <c r="E491" s="7" t="s">
        <v>12</v>
      </c>
      <c r="F491" s="7" t="s">
        <v>10</v>
      </c>
      <c r="G491" s="7">
        <v>1253.936</v>
      </c>
      <c r="H491" s="3"/>
    </row>
    <row r="492" ht="14.25" customHeight="1">
      <c r="A492" s="7">
        <v>44.0</v>
      </c>
      <c r="B492" s="7" t="s">
        <v>8</v>
      </c>
      <c r="C492" s="7">
        <v>38.06</v>
      </c>
      <c r="D492" s="7">
        <v>0.0</v>
      </c>
      <c r="E492" s="7" t="s">
        <v>9</v>
      </c>
      <c r="F492" s="7" t="s">
        <v>13</v>
      </c>
      <c r="G492" s="7">
        <v>48885.13561</v>
      </c>
      <c r="H492" s="3"/>
    </row>
    <row r="493" ht="14.25" customHeight="1">
      <c r="A493" s="7">
        <v>53.0</v>
      </c>
      <c r="B493" s="7" t="s">
        <v>11</v>
      </c>
      <c r="C493" s="7">
        <v>31.16</v>
      </c>
      <c r="D493" s="7">
        <v>1.0</v>
      </c>
      <c r="E493" s="7" t="s">
        <v>12</v>
      </c>
      <c r="F493" s="7" t="s">
        <v>14</v>
      </c>
      <c r="G493" s="7">
        <v>10461.9794</v>
      </c>
      <c r="H493" s="3"/>
    </row>
    <row r="494" ht="14.25" customHeight="1">
      <c r="A494" s="7">
        <v>19.0</v>
      </c>
      <c r="B494" s="7" t="s">
        <v>8</v>
      </c>
      <c r="C494" s="7">
        <v>32.9</v>
      </c>
      <c r="D494" s="7">
        <v>0.0</v>
      </c>
      <c r="E494" s="7" t="s">
        <v>12</v>
      </c>
      <c r="F494" s="7" t="s">
        <v>10</v>
      </c>
      <c r="G494" s="7">
        <v>1748.774</v>
      </c>
      <c r="H494" s="3"/>
    </row>
    <row r="495" ht="14.25" customHeight="1">
      <c r="A495" s="7">
        <v>61.0</v>
      </c>
      <c r="B495" s="7" t="s">
        <v>8</v>
      </c>
      <c r="C495" s="7">
        <v>25.08</v>
      </c>
      <c r="D495" s="7">
        <v>0.0</v>
      </c>
      <c r="E495" s="7" t="s">
        <v>12</v>
      </c>
      <c r="F495" s="7" t="s">
        <v>13</v>
      </c>
      <c r="G495" s="7">
        <v>24513.09126</v>
      </c>
      <c r="H495" s="3"/>
    </row>
    <row r="496" ht="14.25" customHeight="1">
      <c r="A496" s="7">
        <v>18.0</v>
      </c>
      <c r="B496" s="7" t="s">
        <v>8</v>
      </c>
      <c r="C496" s="7">
        <v>25.08</v>
      </c>
      <c r="D496" s="7">
        <v>0.0</v>
      </c>
      <c r="E496" s="7" t="s">
        <v>12</v>
      </c>
      <c r="F496" s="7" t="s">
        <v>15</v>
      </c>
      <c r="G496" s="7">
        <v>2196.4732</v>
      </c>
      <c r="H496" s="3"/>
    </row>
    <row r="497" ht="14.25" customHeight="1">
      <c r="A497" s="7">
        <v>61.0</v>
      </c>
      <c r="B497" s="7" t="s">
        <v>11</v>
      </c>
      <c r="C497" s="7">
        <v>43.4</v>
      </c>
      <c r="D497" s="7">
        <v>0.0</v>
      </c>
      <c r="E497" s="7" t="s">
        <v>12</v>
      </c>
      <c r="F497" s="7" t="s">
        <v>10</v>
      </c>
      <c r="G497" s="7">
        <v>12574.049</v>
      </c>
      <c r="H497" s="3"/>
    </row>
    <row r="498" ht="14.25" customHeight="1">
      <c r="A498" s="7">
        <v>21.0</v>
      </c>
      <c r="B498" s="7" t="s">
        <v>11</v>
      </c>
      <c r="C498" s="7">
        <v>25.7</v>
      </c>
      <c r="D498" s="7">
        <v>4.0</v>
      </c>
      <c r="E498" s="7" t="s">
        <v>9</v>
      </c>
      <c r="F498" s="7" t="s">
        <v>10</v>
      </c>
      <c r="G498" s="7">
        <v>17942.106</v>
      </c>
      <c r="H498" s="3"/>
    </row>
    <row r="499" ht="14.25" customHeight="1">
      <c r="A499" s="7">
        <v>20.0</v>
      </c>
      <c r="B499" s="7" t="s">
        <v>11</v>
      </c>
      <c r="C499" s="7">
        <v>27.93</v>
      </c>
      <c r="D499" s="7">
        <v>0.0</v>
      </c>
      <c r="E499" s="7" t="s">
        <v>12</v>
      </c>
      <c r="F499" s="7" t="s">
        <v>15</v>
      </c>
      <c r="G499" s="7">
        <v>1967.0227</v>
      </c>
      <c r="H499" s="3"/>
    </row>
    <row r="500" ht="14.25" customHeight="1">
      <c r="A500" s="7">
        <v>31.0</v>
      </c>
      <c r="B500" s="7" t="s">
        <v>8</v>
      </c>
      <c r="C500" s="7">
        <v>23.6</v>
      </c>
      <c r="D500" s="7">
        <v>2.0</v>
      </c>
      <c r="E500" s="7" t="s">
        <v>12</v>
      </c>
      <c r="F500" s="7" t="s">
        <v>10</v>
      </c>
      <c r="G500" s="7">
        <v>4931.647</v>
      </c>
      <c r="H500" s="3"/>
    </row>
    <row r="501" ht="14.25" customHeight="1">
      <c r="A501" s="7">
        <v>45.0</v>
      </c>
      <c r="B501" s="7" t="s">
        <v>11</v>
      </c>
      <c r="C501" s="7">
        <v>28.7</v>
      </c>
      <c r="D501" s="7">
        <v>2.0</v>
      </c>
      <c r="E501" s="7" t="s">
        <v>12</v>
      </c>
      <c r="F501" s="7" t="s">
        <v>10</v>
      </c>
      <c r="G501" s="7">
        <v>8027.968</v>
      </c>
      <c r="H501" s="3"/>
    </row>
    <row r="502" ht="14.25" customHeight="1">
      <c r="A502" s="7">
        <v>44.0</v>
      </c>
      <c r="B502" s="7" t="s">
        <v>8</v>
      </c>
      <c r="C502" s="7">
        <v>23.98</v>
      </c>
      <c r="D502" s="7">
        <v>2.0</v>
      </c>
      <c r="E502" s="7" t="s">
        <v>12</v>
      </c>
      <c r="F502" s="7" t="s">
        <v>13</v>
      </c>
      <c r="G502" s="7">
        <v>8211.1002</v>
      </c>
      <c r="H502" s="3"/>
    </row>
    <row r="503" ht="14.25" customHeight="1">
      <c r="A503" s="7">
        <v>62.0</v>
      </c>
      <c r="B503" s="7" t="s">
        <v>8</v>
      </c>
      <c r="C503" s="7">
        <v>39.2</v>
      </c>
      <c r="D503" s="7">
        <v>0.0</v>
      </c>
      <c r="E503" s="7" t="s">
        <v>12</v>
      </c>
      <c r="F503" s="7" t="s">
        <v>10</v>
      </c>
      <c r="G503" s="7">
        <v>13470.86</v>
      </c>
      <c r="H503" s="3"/>
    </row>
    <row r="504" ht="14.25" customHeight="1">
      <c r="A504" s="7">
        <v>29.0</v>
      </c>
      <c r="B504" s="7" t="s">
        <v>11</v>
      </c>
      <c r="C504" s="7">
        <v>34.4</v>
      </c>
      <c r="D504" s="7">
        <v>0.0</v>
      </c>
      <c r="E504" s="7" t="s">
        <v>9</v>
      </c>
      <c r="F504" s="7" t="s">
        <v>10</v>
      </c>
      <c r="G504" s="7">
        <v>36197.699</v>
      </c>
      <c r="H504" s="3"/>
    </row>
    <row r="505" ht="14.25" customHeight="1">
      <c r="A505" s="7">
        <v>43.0</v>
      </c>
      <c r="B505" s="7" t="s">
        <v>11</v>
      </c>
      <c r="C505" s="7">
        <v>26.03</v>
      </c>
      <c r="D505" s="7">
        <v>0.0</v>
      </c>
      <c r="E505" s="7" t="s">
        <v>12</v>
      </c>
      <c r="F505" s="7" t="s">
        <v>15</v>
      </c>
      <c r="G505" s="7">
        <v>6837.3687</v>
      </c>
      <c r="H505" s="3"/>
    </row>
    <row r="506" ht="14.25" customHeight="1">
      <c r="A506" s="7">
        <v>51.0</v>
      </c>
      <c r="B506" s="7" t="s">
        <v>11</v>
      </c>
      <c r="C506" s="7">
        <v>23.21</v>
      </c>
      <c r="D506" s="7">
        <v>1.0</v>
      </c>
      <c r="E506" s="7" t="s">
        <v>9</v>
      </c>
      <c r="F506" s="7" t="s">
        <v>13</v>
      </c>
      <c r="G506" s="7">
        <v>22218.1149</v>
      </c>
      <c r="H506" s="3"/>
    </row>
    <row r="507" ht="14.25" customHeight="1">
      <c r="A507" s="7">
        <v>19.0</v>
      </c>
      <c r="B507" s="7" t="s">
        <v>11</v>
      </c>
      <c r="C507" s="7">
        <v>30.25</v>
      </c>
      <c r="D507" s="7">
        <v>0.0</v>
      </c>
      <c r="E507" s="7" t="s">
        <v>9</v>
      </c>
      <c r="F507" s="7" t="s">
        <v>13</v>
      </c>
      <c r="G507" s="7">
        <v>32548.3405</v>
      </c>
      <c r="H507" s="3"/>
    </row>
    <row r="508" ht="14.25" customHeight="1">
      <c r="A508" s="7">
        <v>38.0</v>
      </c>
      <c r="B508" s="7" t="s">
        <v>8</v>
      </c>
      <c r="C508" s="7">
        <v>28.93</v>
      </c>
      <c r="D508" s="7">
        <v>1.0</v>
      </c>
      <c r="E508" s="7" t="s">
        <v>12</v>
      </c>
      <c r="F508" s="7" t="s">
        <v>13</v>
      </c>
      <c r="G508" s="7">
        <v>5974.3847</v>
      </c>
      <c r="H508" s="3"/>
    </row>
    <row r="509" ht="14.25" customHeight="1">
      <c r="A509" s="7">
        <v>37.0</v>
      </c>
      <c r="B509" s="7" t="s">
        <v>11</v>
      </c>
      <c r="C509" s="7">
        <v>30.875</v>
      </c>
      <c r="D509" s="7">
        <v>3.0</v>
      </c>
      <c r="E509" s="7" t="s">
        <v>12</v>
      </c>
      <c r="F509" s="7" t="s">
        <v>14</v>
      </c>
      <c r="G509" s="7">
        <v>6796.86325</v>
      </c>
      <c r="H509" s="3"/>
    </row>
    <row r="510" ht="14.25" customHeight="1">
      <c r="A510" s="7">
        <v>22.0</v>
      </c>
      <c r="B510" s="7" t="s">
        <v>11</v>
      </c>
      <c r="C510" s="7">
        <v>31.35</v>
      </c>
      <c r="D510" s="7">
        <v>1.0</v>
      </c>
      <c r="E510" s="7" t="s">
        <v>12</v>
      </c>
      <c r="F510" s="7" t="s">
        <v>14</v>
      </c>
      <c r="G510" s="7">
        <v>2643.2685</v>
      </c>
      <c r="H510" s="3"/>
    </row>
    <row r="511" ht="14.25" customHeight="1">
      <c r="A511" s="7">
        <v>21.0</v>
      </c>
      <c r="B511" s="7" t="s">
        <v>11</v>
      </c>
      <c r="C511" s="7">
        <v>23.75</v>
      </c>
      <c r="D511" s="7">
        <v>2.0</v>
      </c>
      <c r="E511" s="7" t="s">
        <v>12</v>
      </c>
      <c r="F511" s="7" t="s">
        <v>14</v>
      </c>
      <c r="G511" s="7">
        <v>3077.0955</v>
      </c>
      <c r="H511" s="3"/>
    </row>
    <row r="512" ht="14.25" customHeight="1">
      <c r="A512" s="7">
        <v>24.0</v>
      </c>
      <c r="B512" s="7" t="s">
        <v>8</v>
      </c>
      <c r="C512" s="7">
        <v>25.27</v>
      </c>
      <c r="D512" s="7">
        <v>0.0</v>
      </c>
      <c r="E512" s="7" t="s">
        <v>12</v>
      </c>
      <c r="F512" s="7" t="s">
        <v>15</v>
      </c>
      <c r="G512" s="7">
        <v>3044.2133</v>
      </c>
      <c r="H512" s="3"/>
    </row>
    <row r="513" ht="14.25" customHeight="1">
      <c r="A513" s="7">
        <v>57.0</v>
      </c>
      <c r="B513" s="7" t="s">
        <v>8</v>
      </c>
      <c r="C513" s="7">
        <v>28.7</v>
      </c>
      <c r="D513" s="7">
        <v>0.0</v>
      </c>
      <c r="E513" s="7" t="s">
        <v>12</v>
      </c>
      <c r="F513" s="7" t="s">
        <v>10</v>
      </c>
      <c r="G513" s="7">
        <v>11455.28</v>
      </c>
      <c r="H513" s="3"/>
    </row>
    <row r="514" ht="14.25" customHeight="1">
      <c r="A514" s="7">
        <v>56.0</v>
      </c>
      <c r="B514" s="7" t="s">
        <v>11</v>
      </c>
      <c r="C514" s="7">
        <v>32.11</v>
      </c>
      <c r="D514" s="7">
        <v>1.0</v>
      </c>
      <c r="E514" s="7" t="s">
        <v>12</v>
      </c>
      <c r="F514" s="7" t="s">
        <v>15</v>
      </c>
      <c r="G514" s="7">
        <v>11763.0009</v>
      </c>
      <c r="H514" s="3"/>
    </row>
    <row r="515" ht="14.25" customHeight="1">
      <c r="A515" s="7">
        <v>27.0</v>
      </c>
      <c r="B515" s="7" t="s">
        <v>11</v>
      </c>
      <c r="C515" s="7">
        <v>33.66</v>
      </c>
      <c r="D515" s="7">
        <v>0.0</v>
      </c>
      <c r="E515" s="7" t="s">
        <v>12</v>
      </c>
      <c r="F515" s="7" t="s">
        <v>13</v>
      </c>
      <c r="G515" s="7">
        <v>2498.4144</v>
      </c>
      <c r="H515" s="3"/>
    </row>
    <row r="516" ht="14.25" customHeight="1">
      <c r="A516" s="7">
        <v>51.0</v>
      </c>
      <c r="B516" s="7" t="s">
        <v>11</v>
      </c>
      <c r="C516" s="7">
        <v>22.42</v>
      </c>
      <c r="D516" s="7">
        <v>0.0</v>
      </c>
      <c r="E516" s="7" t="s">
        <v>12</v>
      </c>
      <c r="F516" s="7" t="s">
        <v>15</v>
      </c>
      <c r="G516" s="7">
        <v>9361.3268</v>
      </c>
      <c r="H516" s="3"/>
    </row>
    <row r="517" ht="14.25" customHeight="1">
      <c r="A517" s="7">
        <v>19.0</v>
      </c>
      <c r="B517" s="7" t="s">
        <v>11</v>
      </c>
      <c r="C517" s="7">
        <v>30.4</v>
      </c>
      <c r="D517" s="7">
        <v>0.0</v>
      </c>
      <c r="E517" s="7" t="s">
        <v>12</v>
      </c>
      <c r="F517" s="7" t="s">
        <v>10</v>
      </c>
      <c r="G517" s="7">
        <v>1256.299</v>
      </c>
      <c r="H517" s="3"/>
    </row>
    <row r="518" ht="14.25" customHeight="1">
      <c r="A518" s="7">
        <v>39.0</v>
      </c>
      <c r="B518" s="7" t="s">
        <v>11</v>
      </c>
      <c r="C518" s="7">
        <v>28.3</v>
      </c>
      <c r="D518" s="7">
        <v>1.0</v>
      </c>
      <c r="E518" s="7" t="s">
        <v>9</v>
      </c>
      <c r="F518" s="7" t="s">
        <v>10</v>
      </c>
      <c r="G518" s="7">
        <v>21082.16</v>
      </c>
      <c r="H518" s="3"/>
    </row>
    <row r="519" ht="14.25" customHeight="1">
      <c r="A519" s="7">
        <v>58.0</v>
      </c>
      <c r="B519" s="7" t="s">
        <v>11</v>
      </c>
      <c r="C519" s="7">
        <v>35.7</v>
      </c>
      <c r="D519" s="7">
        <v>0.0</v>
      </c>
      <c r="E519" s="7" t="s">
        <v>12</v>
      </c>
      <c r="F519" s="7" t="s">
        <v>10</v>
      </c>
      <c r="G519" s="7">
        <v>11362.755</v>
      </c>
      <c r="H519" s="3"/>
    </row>
    <row r="520" ht="14.25" customHeight="1">
      <c r="A520" s="7">
        <v>20.0</v>
      </c>
      <c r="B520" s="7" t="s">
        <v>11</v>
      </c>
      <c r="C520" s="7">
        <v>35.31</v>
      </c>
      <c r="D520" s="7">
        <v>1.0</v>
      </c>
      <c r="E520" s="7" t="s">
        <v>12</v>
      </c>
      <c r="F520" s="7" t="s">
        <v>13</v>
      </c>
      <c r="G520" s="7">
        <v>27724.28875</v>
      </c>
      <c r="H520" s="3"/>
    </row>
    <row r="521" ht="14.25" customHeight="1">
      <c r="A521" s="7">
        <v>45.0</v>
      </c>
      <c r="B521" s="7" t="s">
        <v>11</v>
      </c>
      <c r="C521" s="7">
        <v>30.495</v>
      </c>
      <c r="D521" s="7">
        <v>2.0</v>
      </c>
      <c r="E521" s="7" t="s">
        <v>12</v>
      </c>
      <c r="F521" s="7" t="s">
        <v>14</v>
      </c>
      <c r="G521" s="7">
        <v>8413.46305</v>
      </c>
      <c r="H521" s="3"/>
    </row>
    <row r="522" ht="14.25" customHeight="1">
      <c r="A522" s="7">
        <v>35.0</v>
      </c>
      <c r="B522" s="7" t="s">
        <v>8</v>
      </c>
      <c r="C522" s="7">
        <v>31.0</v>
      </c>
      <c r="D522" s="7">
        <v>1.0</v>
      </c>
      <c r="E522" s="7" t="s">
        <v>12</v>
      </c>
      <c r="F522" s="7" t="s">
        <v>10</v>
      </c>
      <c r="G522" s="7">
        <v>5240.765</v>
      </c>
      <c r="H522" s="3"/>
    </row>
    <row r="523" ht="14.25" customHeight="1">
      <c r="A523" s="7">
        <v>31.0</v>
      </c>
      <c r="B523" s="7" t="s">
        <v>11</v>
      </c>
      <c r="C523" s="7">
        <v>30.875</v>
      </c>
      <c r="D523" s="7">
        <v>0.0</v>
      </c>
      <c r="E523" s="7" t="s">
        <v>12</v>
      </c>
      <c r="F523" s="7" t="s">
        <v>15</v>
      </c>
      <c r="G523" s="7">
        <v>3857.75925</v>
      </c>
      <c r="H523" s="3"/>
    </row>
    <row r="524" ht="14.25" customHeight="1">
      <c r="A524" s="7">
        <v>50.0</v>
      </c>
      <c r="B524" s="7" t="s">
        <v>8</v>
      </c>
      <c r="C524" s="7">
        <v>27.36</v>
      </c>
      <c r="D524" s="7">
        <v>0.0</v>
      </c>
      <c r="E524" s="7" t="s">
        <v>12</v>
      </c>
      <c r="F524" s="7" t="s">
        <v>15</v>
      </c>
      <c r="G524" s="7">
        <v>25656.57526</v>
      </c>
      <c r="H524" s="3"/>
    </row>
    <row r="525" ht="14.25" customHeight="1">
      <c r="A525" s="7">
        <v>32.0</v>
      </c>
      <c r="B525" s="7" t="s">
        <v>8</v>
      </c>
      <c r="C525" s="7">
        <v>44.22</v>
      </c>
      <c r="D525" s="7">
        <v>0.0</v>
      </c>
      <c r="E525" s="7" t="s">
        <v>12</v>
      </c>
      <c r="F525" s="7" t="s">
        <v>13</v>
      </c>
      <c r="G525" s="7">
        <v>3994.1778</v>
      </c>
      <c r="H525" s="3"/>
    </row>
    <row r="526" ht="14.25" customHeight="1">
      <c r="A526" s="7">
        <v>51.0</v>
      </c>
      <c r="B526" s="7" t="s">
        <v>8</v>
      </c>
      <c r="C526" s="7">
        <v>33.915</v>
      </c>
      <c r="D526" s="7">
        <v>0.0</v>
      </c>
      <c r="E526" s="7" t="s">
        <v>12</v>
      </c>
      <c r="F526" s="7" t="s">
        <v>15</v>
      </c>
      <c r="G526" s="7">
        <v>9866.30485</v>
      </c>
      <c r="H526" s="3"/>
    </row>
    <row r="527" ht="14.25" customHeight="1">
      <c r="A527" s="7">
        <v>38.0</v>
      </c>
      <c r="B527" s="7" t="s">
        <v>8</v>
      </c>
      <c r="C527" s="7">
        <v>37.73</v>
      </c>
      <c r="D527" s="7">
        <v>0.0</v>
      </c>
      <c r="E527" s="7" t="s">
        <v>12</v>
      </c>
      <c r="F527" s="7" t="s">
        <v>13</v>
      </c>
      <c r="G527" s="7">
        <v>5397.6167</v>
      </c>
      <c r="H527" s="3"/>
    </row>
    <row r="528" ht="14.25" customHeight="1">
      <c r="A528" s="7">
        <v>42.0</v>
      </c>
      <c r="B528" s="7" t="s">
        <v>11</v>
      </c>
      <c r="C528" s="7">
        <v>26.07</v>
      </c>
      <c r="D528" s="7">
        <v>1.0</v>
      </c>
      <c r="E528" s="7" t="s">
        <v>9</v>
      </c>
      <c r="F528" s="7" t="s">
        <v>13</v>
      </c>
      <c r="G528" s="7">
        <v>38245.59327</v>
      </c>
      <c r="H528" s="3"/>
    </row>
    <row r="529" ht="14.25" customHeight="1">
      <c r="A529" s="7">
        <v>18.0</v>
      </c>
      <c r="B529" s="7" t="s">
        <v>8</v>
      </c>
      <c r="C529" s="7">
        <v>33.88</v>
      </c>
      <c r="D529" s="7">
        <v>0.0</v>
      </c>
      <c r="E529" s="7" t="s">
        <v>12</v>
      </c>
      <c r="F529" s="7" t="s">
        <v>13</v>
      </c>
      <c r="G529" s="7">
        <v>11482.63485</v>
      </c>
      <c r="H529" s="3"/>
    </row>
    <row r="530" ht="14.25" customHeight="1">
      <c r="A530" s="7">
        <v>19.0</v>
      </c>
      <c r="B530" s="7" t="s">
        <v>8</v>
      </c>
      <c r="C530" s="7">
        <v>30.59</v>
      </c>
      <c r="D530" s="7">
        <v>2.0</v>
      </c>
      <c r="E530" s="7" t="s">
        <v>12</v>
      </c>
      <c r="F530" s="7" t="s">
        <v>14</v>
      </c>
      <c r="G530" s="7">
        <v>24059.68019</v>
      </c>
      <c r="H530" s="3"/>
    </row>
    <row r="531" ht="14.25" customHeight="1">
      <c r="A531" s="7">
        <v>51.0</v>
      </c>
      <c r="B531" s="7" t="s">
        <v>8</v>
      </c>
      <c r="C531" s="7">
        <v>25.8</v>
      </c>
      <c r="D531" s="7">
        <v>1.0</v>
      </c>
      <c r="E531" s="7" t="s">
        <v>12</v>
      </c>
      <c r="F531" s="7" t="s">
        <v>10</v>
      </c>
      <c r="G531" s="7">
        <v>9861.025</v>
      </c>
      <c r="H531" s="3"/>
    </row>
    <row r="532" ht="14.25" customHeight="1">
      <c r="A532" s="7">
        <v>46.0</v>
      </c>
      <c r="B532" s="7" t="s">
        <v>11</v>
      </c>
      <c r="C532" s="7">
        <v>39.425</v>
      </c>
      <c r="D532" s="7">
        <v>1.0</v>
      </c>
      <c r="E532" s="7" t="s">
        <v>12</v>
      </c>
      <c r="F532" s="7" t="s">
        <v>15</v>
      </c>
      <c r="G532" s="7">
        <v>8342.90875</v>
      </c>
      <c r="H532" s="3"/>
    </row>
    <row r="533" ht="14.25" customHeight="1">
      <c r="A533" s="7">
        <v>18.0</v>
      </c>
      <c r="B533" s="7" t="s">
        <v>11</v>
      </c>
      <c r="C533" s="7">
        <v>25.46</v>
      </c>
      <c r="D533" s="7">
        <v>0.0</v>
      </c>
      <c r="E533" s="7" t="s">
        <v>12</v>
      </c>
      <c r="F533" s="7" t="s">
        <v>15</v>
      </c>
      <c r="G533" s="7">
        <v>1708.0014</v>
      </c>
      <c r="H533" s="3"/>
    </row>
    <row r="534" ht="14.25" customHeight="1">
      <c r="A534" s="7">
        <v>57.0</v>
      </c>
      <c r="B534" s="7" t="s">
        <v>11</v>
      </c>
      <c r="C534" s="7">
        <v>42.13</v>
      </c>
      <c r="D534" s="7">
        <v>1.0</v>
      </c>
      <c r="E534" s="7" t="s">
        <v>9</v>
      </c>
      <c r="F534" s="7" t="s">
        <v>13</v>
      </c>
      <c r="G534" s="7">
        <v>48675.5177</v>
      </c>
      <c r="H534" s="3"/>
    </row>
    <row r="535" ht="14.25" customHeight="1">
      <c r="A535" s="7">
        <v>62.0</v>
      </c>
      <c r="B535" s="7" t="s">
        <v>8</v>
      </c>
      <c r="C535" s="7">
        <v>31.73</v>
      </c>
      <c r="D535" s="7">
        <v>0.0</v>
      </c>
      <c r="E535" s="7" t="s">
        <v>12</v>
      </c>
      <c r="F535" s="7" t="s">
        <v>15</v>
      </c>
      <c r="G535" s="7">
        <v>14043.4767</v>
      </c>
      <c r="H535" s="3"/>
    </row>
    <row r="536" ht="14.25" customHeight="1">
      <c r="A536" s="7">
        <v>59.0</v>
      </c>
      <c r="B536" s="7" t="s">
        <v>11</v>
      </c>
      <c r="C536" s="7">
        <v>29.7</v>
      </c>
      <c r="D536" s="7">
        <v>2.0</v>
      </c>
      <c r="E536" s="7" t="s">
        <v>12</v>
      </c>
      <c r="F536" s="7" t="s">
        <v>13</v>
      </c>
      <c r="G536" s="7">
        <v>12925.886</v>
      </c>
      <c r="H536" s="3"/>
    </row>
    <row r="537" ht="14.25" customHeight="1">
      <c r="A537" s="7">
        <v>37.0</v>
      </c>
      <c r="B537" s="7" t="s">
        <v>11</v>
      </c>
      <c r="C537" s="7">
        <v>36.19</v>
      </c>
      <c r="D537" s="7">
        <v>0.0</v>
      </c>
      <c r="E537" s="7" t="s">
        <v>12</v>
      </c>
      <c r="F537" s="7" t="s">
        <v>13</v>
      </c>
      <c r="G537" s="7">
        <v>19214.70553</v>
      </c>
      <c r="H537" s="3"/>
    </row>
    <row r="538" ht="14.25" customHeight="1">
      <c r="A538" s="7">
        <v>64.0</v>
      </c>
      <c r="B538" s="7" t="s">
        <v>11</v>
      </c>
      <c r="C538" s="7">
        <v>40.48</v>
      </c>
      <c r="D538" s="7">
        <v>0.0</v>
      </c>
      <c r="E538" s="7" t="s">
        <v>12</v>
      </c>
      <c r="F538" s="7" t="s">
        <v>13</v>
      </c>
      <c r="G538" s="7">
        <v>13831.1152</v>
      </c>
      <c r="H538" s="3"/>
    </row>
    <row r="539" ht="14.25" customHeight="1">
      <c r="A539" s="7">
        <v>38.0</v>
      </c>
      <c r="B539" s="7" t="s">
        <v>11</v>
      </c>
      <c r="C539" s="7">
        <v>28.025</v>
      </c>
      <c r="D539" s="7">
        <v>1.0</v>
      </c>
      <c r="E539" s="7" t="s">
        <v>12</v>
      </c>
      <c r="F539" s="7" t="s">
        <v>15</v>
      </c>
      <c r="G539" s="7">
        <v>6067.12675</v>
      </c>
      <c r="H539" s="3"/>
    </row>
    <row r="540" ht="14.25" customHeight="1">
      <c r="A540" s="7">
        <v>33.0</v>
      </c>
      <c r="B540" s="7" t="s">
        <v>8</v>
      </c>
      <c r="C540" s="7">
        <v>38.9</v>
      </c>
      <c r="D540" s="7">
        <v>3.0</v>
      </c>
      <c r="E540" s="7" t="s">
        <v>12</v>
      </c>
      <c r="F540" s="7" t="s">
        <v>10</v>
      </c>
      <c r="G540" s="7">
        <v>5972.378</v>
      </c>
      <c r="H540" s="3"/>
    </row>
    <row r="541" ht="14.25" customHeight="1">
      <c r="A541" s="7">
        <v>46.0</v>
      </c>
      <c r="B541" s="7" t="s">
        <v>8</v>
      </c>
      <c r="C541" s="7">
        <v>30.2</v>
      </c>
      <c r="D541" s="7">
        <v>2.0</v>
      </c>
      <c r="E541" s="7" t="s">
        <v>12</v>
      </c>
      <c r="F541" s="7" t="s">
        <v>10</v>
      </c>
      <c r="G541" s="7">
        <v>8825.086</v>
      </c>
      <c r="H541" s="3"/>
    </row>
    <row r="542" ht="14.25" customHeight="1">
      <c r="A542" s="7">
        <v>46.0</v>
      </c>
      <c r="B542" s="7" t="s">
        <v>8</v>
      </c>
      <c r="C542" s="7">
        <v>28.05</v>
      </c>
      <c r="D542" s="7">
        <v>1.0</v>
      </c>
      <c r="E542" s="7" t="s">
        <v>12</v>
      </c>
      <c r="F542" s="7" t="s">
        <v>13</v>
      </c>
      <c r="G542" s="7">
        <v>8233.0975</v>
      </c>
      <c r="H542" s="3"/>
    </row>
    <row r="543" ht="14.25" customHeight="1">
      <c r="A543" s="7">
        <v>53.0</v>
      </c>
      <c r="B543" s="7" t="s">
        <v>11</v>
      </c>
      <c r="C543" s="7">
        <v>31.35</v>
      </c>
      <c r="D543" s="7">
        <v>0.0</v>
      </c>
      <c r="E543" s="7" t="s">
        <v>12</v>
      </c>
      <c r="F543" s="7" t="s">
        <v>13</v>
      </c>
      <c r="G543" s="7">
        <v>27346.04207</v>
      </c>
      <c r="H543" s="3"/>
    </row>
    <row r="544" ht="14.25" customHeight="1">
      <c r="A544" s="7">
        <v>34.0</v>
      </c>
      <c r="B544" s="7" t="s">
        <v>8</v>
      </c>
      <c r="C544" s="7">
        <v>38.0</v>
      </c>
      <c r="D544" s="7">
        <v>3.0</v>
      </c>
      <c r="E544" s="7" t="s">
        <v>12</v>
      </c>
      <c r="F544" s="7" t="s">
        <v>10</v>
      </c>
      <c r="G544" s="7">
        <v>6196.448</v>
      </c>
      <c r="H544" s="3"/>
    </row>
    <row r="545" ht="14.25" customHeight="1">
      <c r="A545" s="7">
        <v>20.0</v>
      </c>
      <c r="B545" s="7" t="s">
        <v>8</v>
      </c>
      <c r="C545" s="7">
        <v>31.79</v>
      </c>
      <c r="D545" s="7">
        <v>2.0</v>
      </c>
      <c r="E545" s="7" t="s">
        <v>12</v>
      </c>
      <c r="F545" s="7" t="s">
        <v>13</v>
      </c>
      <c r="G545" s="7">
        <v>3056.3881</v>
      </c>
      <c r="H545" s="3"/>
    </row>
    <row r="546" ht="14.25" customHeight="1">
      <c r="A546" s="7">
        <v>63.0</v>
      </c>
      <c r="B546" s="7" t="s">
        <v>8</v>
      </c>
      <c r="C546" s="7">
        <v>36.3</v>
      </c>
      <c r="D546" s="7">
        <v>0.0</v>
      </c>
      <c r="E546" s="7" t="s">
        <v>12</v>
      </c>
      <c r="F546" s="7" t="s">
        <v>13</v>
      </c>
      <c r="G546" s="7">
        <v>13887.204</v>
      </c>
      <c r="H546" s="3"/>
    </row>
    <row r="547" ht="14.25" customHeight="1">
      <c r="A547" s="7">
        <v>54.0</v>
      </c>
      <c r="B547" s="7" t="s">
        <v>8</v>
      </c>
      <c r="C547" s="7">
        <v>47.41</v>
      </c>
      <c r="D547" s="7">
        <v>0.0</v>
      </c>
      <c r="E547" s="7" t="s">
        <v>9</v>
      </c>
      <c r="F547" s="7" t="s">
        <v>13</v>
      </c>
      <c r="G547" s="7">
        <v>63770.42801</v>
      </c>
      <c r="H547" s="3"/>
    </row>
    <row r="548" ht="14.25" customHeight="1">
      <c r="A548" s="7">
        <v>54.0</v>
      </c>
      <c r="B548" s="7" t="s">
        <v>11</v>
      </c>
      <c r="C548" s="7">
        <v>30.21</v>
      </c>
      <c r="D548" s="7">
        <v>0.0</v>
      </c>
      <c r="E548" s="7" t="s">
        <v>12</v>
      </c>
      <c r="F548" s="7" t="s">
        <v>14</v>
      </c>
      <c r="G548" s="7">
        <v>10231.4999</v>
      </c>
      <c r="H548" s="3"/>
    </row>
    <row r="549" ht="14.25" customHeight="1">
      <c r="A549" s="7">
        <v>49.0</v>
      </c>
      <c r="B549" s="7" t="s">
        <v>11</v>
      </c>
      <c r="C549" s="7">
        <v>25.84</v>
      </c>
      <c r="D549" s="7">
        <v>2.0</v>
      </c>
      <c r="E549" s="7" t="s">
        <v>9</v>
      </c>
      <c r="F549" s="7" t="s">
        <v>14</v>
      </c>
      <c r="G549" s="7">
        <v>23807.2406</v>
      </c>
      <c r="H549" s="3"/>
    </row>
    <row r="550" ht="14.25" customHeight="1">
      <c r="A550" s="7">
        <v>28.0</v>
      </c>
      <c r="B550" s="7" t="s">
        <v>11</v>
      </c>
      <c r="C550" s="7">
        <v>35.435</v>
      </c>
      <c r="D550" s="7">
        <v>0.0</v>
      </c>
      <c r="E550" s="7" t="s">
        <v>12</v>
      </c>
      <c r="F550" s="7" t="s">
        <v>15</v>
      </c>
      <c r="G550" s="7">
        <v>3268.84665</v>
      </c>
      <c r="H550" s="3"/>
    </row>
    <row r="551" ht="14.25" customHeight="1">
      <c r="A551" s="7">
        <v>54.0</v>
      </c>
      <c r="B551" s="7" t="s">
        <v>8</v>
      </c>
      <c r="C551" s="7">
        <v>46.7</v>
      </c>
      <c r="D551" s="7">
        <v>2.0</v>
      </c>
      <c r="E551" s="7" t="s">
        <v>12</v>
      </c>
      <c r="F551" s="7" t="s">
        <v>10</v>
      </c>
      <c r="G551" s="7">
        <v>11538.421</v>
      </c>
      <c r="H551" s="3"/>
    </row>
    <row r="552" ht="14.25" customHeight="1">
      <c r="A552" s="7">
        <v>25.0</v>
      </c>
      <c r="B552" s="7" t="s">
        <v>8</v>
      </c>
      <c r="C552" s="7">
        <v>28.595</v>
      </c>
      <c r="D552" s="7">
        <v>0.0</v>
      </c>
      <c r="E552" s="7" t="s">
        <v>12</v>
      </c>
      <c r="F552" s="7" t="s">
        <v>15</v>
      </c>
      <c r="G552" s="7">
        <v>3213.62205</v>
      </c>
      <c r="H552" s="3"/>
    </row>
    <row r="553" ht="14.25" customHeight="1">
      <c r="A553" s="7">
        <v>43.0</v>
      </c>
      <c r="B553" s="7" t="s">
        <v>8</v>
      </c>
      <c r="C553" s="7">
        <v>46.2</v>
      </c>
      <c r="D553" s="7">
        <v>0.0</v>
      </c>
      <c r="E553" s="7" t="s">
        <v>9</v>
      </c>
      <c r="F553" s="7" t="s">
        <v>13</v>
      </c>
      <c r="G553" s="7">
        <v>45863.205</v>
      </c>
      <c r="H553" s="3"/>
    </row>
    <row r="554" ht="14.25" customHeight="1">
      <c r="A554" s="7">
        <v>63.0</v>
      </c>
      <c r="B554" s="7" t="s">
        <v>11</v>
      </c>
      <c r="C554" s="7">
        <v>30.8</v>
      </c>
      <c r="D554" s="7">
        <v>0.0</v>
      </c>
      <c r="E554" s="7" t="s">
        <v>12</v>
      </c>
      <c r="F554" s="7" t="s">
        <v>10</v>
      </c>
      <c r="G554" s="7">
        <v>13390.559</v>
      </c>
      <c r="H554" s="3"/>
    </row>
    <row r="555" ht="14.25" customHeight="1">
      <c r="A555" s="7">
        <v>32.0</v>
      </c>
      <c r="B555" s="7" t="s">
        <v>8</v>
      </c>
      <c r="C555" s="7">
        <v>28.93</v>
      </c>
      <c r="D555" s="7">
        <v>0.0</v>
      </c>
      <c r="E555" s="7" t="s">
        <v>12</v>
      </c>
      <c r="F555" s="7" t="s">
        <v>13</v>
      </c>
      <c r="G555" s="7">
        <v>3972.9247</v>
      </c>
      <c r="H555" s="3"/>
    </row>
    <row r="556" ht="14.25" customHeight="1">
      <c r="A556" s="7">
        <v>62.0</v>
      </c>
      <c r="B556" s="7" t="s">
        <v>11</v>
      </c>
      <c r="C556" s="7">
        <v>21.4</v>
      </c>
      <c r="D556" s="7">
        <v>0.0</v>
      </c>
      <c r="E556" s="7" t="s">
        <v>12</v>
      </c>
      <c r="F556" s="7" t="s">
        <v>10</v>
      </c>
      <c r="G556" s="7">
        <v>12957.118</v>
      </c>
      <c r="H556" s="3"/>
    </row>
    <row r="557" ht="14.25" customHeight="1">
      <c r="A557" s="7">
        <v>52.0</v>
      </c>
      <c r="B557" s="7" t="s">
        <v>8</v>
      </c>
      <c r="C557" s="7">
        <v>31.73</v>
      </c>
      <c r="D557" s="7">
        <v>2.0</v>
      </c>
      <c r="E557" s="7" t="s">
        <v>12</v>
      </c>
      <c r="F557" s="7" t="s">
        <v>14</v>
      </c>
      <c r="G557" s="7">
        <v>11187.6567</v>
      </c>
      <c r="H557" s="3"/>
    </row>
    <row r="558" ht="14.25" customHeight="1">
      <c r="A558" s="7">
        <v>25.0</v>
      </c>
      <c r="B558" s="7" t="s">
        <v>8</v>
      </c>
      <c r="C558" s="7">
        <v>41.325</v>
      </c>
      <c r="D558" s="7">
        <v>0.0</v>
      </c>
      <c r="E558" s="7" t="s">
        <v>12</v>
      </c>
      <c r="F558" s="7" t="s">
        <v>15</v>
      </c>
      <c r="G558" s="7">
        <v>17878.90068</v>
      </c>
      <c r="H558" s="3"/>
    </row>
    <row r="559" ht="14.25" customHeight="1">
      <c r="A559" s="7">
        <v>28.0</v>
      </c>
      <c r="B559" s="7" t="s">
        <v>11</v>
      </c>
      <c r="C559" s="7">
        <v>23.8</v>
      </c>
      <c r="D559" s="7">
        <v>2.0</v>
      </c>
      <c r="E559" s="7" t="s">
        <v>12</v>
      </c>
      <c r="F559" s="7" t="s">
        <v>10</v>
      </c>
      <c r="G559" s="7">
        <v>3847.674</v>
      </c>
      <c r="H559" s="3"/>
    </row>
    <row r="560" ht="14.25" customHeight="1">
      <c r="A560" s="7">
        <v>46.0</v>
      </c>
      <c r="B560" s="7" t="s">
        <v>11</v>
      </c>
      <c r="C560" s="7">
        <v>33.44</v>
      </c>
      <c r="D560" s="7">
        <v>1.0</v>
      </c>
      <c r="E560" s="7" t="s">
        <v>12</v>
      </c>
      <c r="F560" s="7" t="s">
        <v>15</v>
      </c>
      <c r="G560" s="7">
        <v>8334.5896</v>
      </c>
      <c r="H560" s="3"/>
    </row>
    <row r="561" ht="14.25" customHeight="1">
      <c r="A561" s="7">
        <v>34.0</v>
      </c>
      <c r="B561" s="7" t="s">
        <v>11</v>
      </c>
      <c r="C561" s="7">
        <v>34.21</v>
      </c>
      <c r="D561" s="7">
        <v>0.0</v>
      </c>
      <c r="E561" s="7" t="s">
        <v>12</v>
      </c>
      <c r="F561" s="7" t="s">
        <v>13</v>
      </c>
      <c r="G561" s="7">
        <v>3935.1799</v>
      </c>
      <c r="H561" s="3"/>
    </row>
    <row r="562" ht="14.25" customHeight="1">
      <c r="A562" s="7">
        <v>35.0</v>
      </c>
      <c r="B562" s="7" t="s">
        <v>8</v>
      </c>
      <c r="C562" s="7">
        <v>34.105</v>
      </c>
      <c r="D562" s="7">
        <v>3.0</v>
      </c>
      <c r="E562" s="7" t="s">
        <v>9</v>
      </c>
      <c r="F562" s="7" t="s">
        <v>14</v>
      </c>
      <c r="G562" s="7">
        <v>39983.42595</v>
      </c>
      <c r="H562" s="3"/>
    </row>
    <row r="563" ht="14.25" customHeight="1">
      <c r="A563" s="7">
        <v>19.0</v>
      </c>
      <c r="B563" s="7" t="s">
        <v>11</v>
      </c>
      <c r="C563" s="7">
        <v>35.53</v>
      </c>
      <c r="D563" s="7">
        <v>0.0</v>
      </c>
      <c r="E563" s="7" t="s">
        <v>12</v>
      </c>
      <c r="F563" s="7" t="s">
        <v>14</v>
      </c>
      <c r="G563" s="7">
        <v>1646.4297</v>
      </c>
      <c r="H563" s="3"/>
    </row>
    <row r="564" ht="14.25" customHeight="1">
      <c r="A564" s="7">
        <v>46.0</v>
      </c>
      <c r="B564" s="7" t="s">
        <v>8</v>
      </c>
      <c r="C564" s="7">
        <v>19.95</v>
      </c>
      <c r="D564" s="7">
        <v>2.0</v>
      </c>
      <c r="E564" s="7" t="s">
        <v>12</v>
      </c>
      <c r="F564" s="7" t="s">
        <v>14</v>
      </c>
      <c r="G564" s="7">
        <v>9193.8385</v>
      </c>
      <c r="H564" s="3"/>
    </row>
    <row r="565" ht="14.25" customHeight="1">
      <c r="A565" s="7">
        <v>54.0</v>
      </c>
      <c r="B565" s="7" t="s">
        <v>8</v>
      </c>
      <c r="C565" s="7">
        <v>32.68</v>
      </c>
      <c r="D565" s="7">
        <v>0.0</v>
      </c>
      <c r="E565" s="7" t="s">
        <v>12</v>
      </c>
      <c r="F565" s="7" t="s">
        <v>15</v>
      </c>
      <c r="G565" s="7">
        <v>10923.9332</v>
      </c>
      <c r="H565" s="3"/>
    </row>
    <row r="566" ht="14.25" customHeight="1">
      <c r="A566" s="7">
        <v>27.0</v>
      </c>
      <c r="B566" s="7" t="s">
        <v>11</v>
      </c>
      <c r="C566" s="7">
        <v>30.5</v>
      </c>
      <c r="D566" s="7">
        <v>0.0</v>
      </c>
      <c r="E566" s="7" t="s">
        <v>12</v>
      </c>
      <c r="F566" s="7" t="s">
        <v>10</v>
      </c>
      <c r="G566" s="7">
        <v>2494.022</v>
      </c>
      <c r="H566" s="3"/>
    </row>
    <row r="567" ht="14.25" customHeight="1">
      <c r="A567" s="7">
        <v>50.0</v>
      </c>
      <c r="B567" s="7" t="s">
        <v>11</v>
      </c>
      <c r="C567" s="7">
        <v>44.77</v>
      </c>
      <c r="D567" s="7">
        <v>1.0</v>
      </c>
      <c r="E567" s="7" t="s">
        <v>12</v>
      </c>
      <c r="F567" s="7" t="s">
        <v>13</v>
      </c>
      <c r="G567" s="7">
        <v>9058.7303</v>
      </c>
      <c r="H567" s="3"/>
    </row>
    <row r="568" ht="14.25" customHeight="1">
      <c r="A568" s="7">
        <v>18.0</v>
      </c>
      <c r="B568" s="7" t="s">
        <v>8</v>
      </c>
      <c r="C568" s="7">
        <v>32.12</v>
      </c>
      <c r="D568" s="7">
        <v>2.0</v>
      </c>
      <c r="E568" s="7" t="s">
        <v>12</v>
      </c>
      <c r="F568" s="7" t="s">
        <v>13</v>
      </c>
      <c r="G568" s="7">
        <v>2801.2588</v>
      </c>
      <c r="H568" s="3"/>
    </row>
    <row r="569" ht="14.25" customHeight="1">
      <c r="A569" s="7">
        <v>19.0</v>
      </c>
      <c r="B569" s="7" t="s">
        <v>8</v>
      </c>
      <c r="C569" s="7">
        <v>30.495</v>
      </c>
      <c r="D569" s="7">
        <v>0.0</v>
      </c>
      <c r="E569" s="7" t="s">
        <v>12</v>
      </c>
      <c r="F569" s="7" t="s">
        <v>14</v>
      </c>
      <c r="G569" s="7">
        <v>2128.43105</v>
      </c>
      <c r="H569" s="3"/>
    </row>
    <row r="570" ht="14.25" customHeight="1">
      <c r="A570" s="7">
        <v>38.0</v>
      </c>
      <c r="B570" s="7" t="s">
        <v>8</v>
      </c>
      <c r="C570" s="7">
        <v>40.565</v>
      </c>
      <c r="D570" s="7">
        <v>1.0</v>
      </c>
      <c r="E570" s="7" t="s">
        <v>12</v>
      </c>
      <c r="F570" s="7" t="s">
        <v>14</v>
      </c>
      <c r="G570" s="7">
        <v>6373.55735</v>
      </c>
      <c r="H570" s="3"/>
    </row>
    <row r="571" ht="14.25" customHeight="1">
      <c r="A571" s="7">
        <v>41.0</v>
      </c>
      <c r="B571" s="7" t="s">
        <v>11</v>
      </c>
      <c r="C571" s="7">
        <v>30.59</v>
      </c>
      <c r="D571" s="7">
        <v>2.0</v>
      </c>
      <c r="E571" s="7" t="s">
        <v>12</v>
      </c>
      <c r="F571" s="7" t="s">
        <v>14</v>
      </c>
      <c r="G571" s="7">
        <v>7256.7231</v>
      </c>
      <c r="H571" s="3"/>
    </row>
    <row r="572" ht="14.25" customHeight="1">
      <c r="A572" s="7">
        <v>49.0</v>
      </c>
      <c r="B572" s="7" t="s">
        <v>8</v>
      </c>
      <c r="C572" s="7">
        <v>31.9</v>
      </c>
      <c r="D572" s="7">
        <v>5.0</v>
      </c>
      <c r="E572" s="7" t="s">
        <v>12</v>
      </c>
      <c r="F572" s="7" t="s">
        <v>10</v>
      </c>
      <c r="G572" s="7">
        <v>11552.904</v>
      </c>
      <c r="H572" s="3"/>
    </row>
    <row r="573" ht="14.25" customHeight="1">
      <c r="A573" s="7">
        <v>48.0</v>
      </c>
      <c r="B573" s="7" t="s">
        <v>11</v>
      </c>
      <c r="C573" s="7">
        <v>40.565</v>
      </c>
      <c r="D573" s="7">
        <v>2.0</v>
      </c>
      <c r="E573" s="7" t="s">
        <v>9</v>
      </c>
      <c r="F573" s="7" t="s">
        <v>14</v>
      </c>
      <c r="G573" s="7">
        <v>45702.02235</v>
      </c>
      <c r="H573" s="3"/>
    </row>
    <row r="574" ht="14.25" customHeight="1">
      <c r="A574" s="7">
        <v>31.0</v>
      </c>
      <c r="B574" s="7" t="s">
        <v>8</v>
      </c>
      <c r="C574" s="7">
        <v>29.1</v>
      </c>
      <c r="D574" s="7">
        <v>0.0</v>
      </c>
      <c r="E574" s="7" t="s">
        <v>12</v>
      </c>
      <c r="F574" s="7" t="s">
        <v>10</v>
      </c>
      <c r="G574" s="7">
        <v>3761.292</v>
      </c>
      <c r="H574" s="3"/>
    </row>
    <row r="575" ht="14.25" customHeight="1">
      <c r="A575" s="7">
        <v>18.0</v>
      </c>
      <c r="B575" s="7" t="s">
        <v>8</v>
      </c>
      <c r="C575" s="7">
        <v>37.29</v>
      </c>
      <c r="D575" s="7">
        <v>1.0</v>
      </c>
      <c r="E575" s="7" t="s">
        <v>12</v>
      </c>
      <c r="F575" s="7" t="s">
        <v>13</v>
      </c>
      <c r="G575" s="7">
        <v>2219.4451</v>
      </c>
      <c r="H575" s="3"/>
    </row>
    <row r="576" ht="14.25" customHeight="1">
      <c r="A576" s="7">
        <v>30.0</v>
      </c>
      <c r="B576" s="7" t="s">
        <v>8</v>
      </c>
      <c r="C576" s="7">
        <v>43.12</v>
      </c>
      <c r="D576" s="7">
        <v>2.0</v>
      </c>
      <c r="E576" s="7" t="s">
        <v>12</v>
      </c>
      <c r="F576" s="7" t="s">
        <v>13</v>
      </c>
      <c r="G576" s="7">
        <v>4753.6368</v>
      </c>
      <c r="H576" s="3"/>
    </row>
    <row r="577" ht="14.25" customHeight="1">
      <c r="A577" s="7">
        <v>62.0</v>
      </c>
      <c r="B577" s="7" t="s">
        <v>8</v>
      </c>
      <c r="C577" s="7">
        <v>36.86</v>
      </c>
      <c r="D577" s="7">
        <v>1.0</v>
      </c>
      <c r="E577" s="7" t="s">
        <v>12</v>
      </c>
      <c r="F577" s="7" t="s">
        <v>15</v>
      </c>
      <c r="G577" s="7">
        <v>31620.00106</v>
      </c>
      <c r="H577" s="3"/>
    </row>
    <row r="578" ht="14.25" customHeight="1">
      <c r="A578" s="7">
        <v>57.0</v>
      </c>
      <c r="B578" s="7" t="s">
        <v>8</v>
      </c>
      <c r="C578" s="7">
        <v>34.295</v>
      </c>
      <c r="D578" s="7">
        <v>2.0</v>
      </c>
      <c r="E578" s="7" t="s">
        <v>12</v>
      </c>
      <c r="F578" s="7" t="s">
        <v>15</v>
      </c>
      <c r="G578" s="7">
        <v>13224.05705</v>
      </c>
      <c r="H578" s="3"/>
    </row>
    <row r="579" ht="14.25" customHeight="1">
      <c r="A579" s="7">
        <v>58.0</v>
      </c>
      <c r="B579" s="7" t="s">
        <v>8</v>
      </c>
      <c r="C579" s="7">
        <v>27.17</v>
      </c>
      <c r="D579" s="7">
        <v>0.0</v>
      </c>
      <c r="E579" s="7" t="s">
        <v>12</v>
      </c>
      <c r="F579" s="7" t="s">
        <v>14</v>
      </c>
      <c r="G579" s="7">
        <v>12222.8983</v>
      </c>
      <c r="H579" s="3"/>
    </row>
    <row r="580" ht="14.25" customHeight="1">
      <c r="A580" s="7">
        <v>22.0</v>
      </c>
      <c r="B580" s="7" t="s">
        <v>11</v>
      </c>
      <c r="C580" s="7">
        <v>26.84</v>
      </c>
      <c r="D580" s="7">
        <v>0.0</v>
      </c>
      <c r="E580" s="7" t="s">
        <v>12</v>
      </c>
      <c r="F580" s="7" t="s">
        <v>13</v>
      </c>
      <c r="G580" s="7">
        <v>1664.9996</v>
      </c>
      <c r="H580" s="3"/>
    </row>
    <row r="581" ht="14.25" customHeight="1">
      <c r="A581" s="7">
        <v>31.0</v>
      </c>
      <c r="B581" s="7" t="s">
        <v>8</v>
      </c>
      <c r="C581" s="7">
        <v>38.095</v>
      </c>
      <c r="D581" s="7">
        <v>1.0</v>
      </c>
      <c r="E581" s="7" t="s">
        <v>9</v>
      </c>
      <c r="F581" s="7" t="s">
        <v>15</v>
      </c>
      <c r="G581" s="7">
        <v>58571.07448</v>
      </c>
      <c r="H581" s="3"/>
    </row>
    <row r="582" ht="14.25" customHeight="1">
      <c r="A582" s="7">
        <v>52.0</v>
      </c>
      <c r="B582" s="7" t="s">
        <v>11</v>
      </c>
      <c r="C582" s="7">
        <v>30.2</v>
      </c>
      <c r="D582" s="7">
        <v>1.0</v>
      </c>
      <c r="E582" s="7" t="s">
        <v>12</v>
      </c>
      <c r="F582" s="7" t="s">
        <v>10</v>
      </c>
      <c r="G582" s="7">
        <v>9724.53</v>
      </c>
      <c r="H582" s="3"/>
    </row>
    <row r="583" ht="14.25" customHeight="1">
      <c r="A583" s="7">
        <v>25.0</v>
      </c>
      <c r="B583" s="7" t="s">
        <v>8</v>
      </c>
      <c r="C583" s="7">
        <v>23.465</v>
      </c>
      <c r="D583" s="7">
        <v>0.0</v>
      </c>
      <c r="E583" s="7" t="s">
        <v>12</v>
      </c>
      <c r="F583" s="7" t="s">
        <v>15</v>
      </c>
      <c r="G583" s="7">
        <v>3206.49135</v>
      </c>
      <c r="H583" s="3"/>
    </row>
    <row r="584" ht="14.25" customHeight="1">
      <c r="A584" s="7">
        <v>59.0</v>
      </c>
      <c r="B584" s="7" t="s">
        <v>11</v>
      </c>
      <c r="C584" s="7">
        <v>25.46</v>
      </c>
      <c r="D584" s="7">
        <v>1.0</v>
      </c>
      <c r="E584" s="7" t="s">
        <v>12</v>
      </c>
      <c r="F584" s="7" t="s">
        <v>15</v>
      </c>
      <c r="G584" s="7">
        <v>12913.9924</v>
      </c>
      <c r="H584" s="3"/>
    </row>
    <row r="585" ht="14.25" customHeight="1">
      <c r="A585" s="7">
        <v>19.0</v>
      </c>
      <c r="B585" s="7" t="s">
        <v>11</v>
      </c>
      <c r="C585" s="7">
        <v>30.59</v>
      </c>
      <c r="D585" s="7">
        <v>0.0</v>
      </c>
      <c r="E585" s="7" t="s">
        <v>12</v>
      </c>
      <c r="F585" s="7" t="s">
        <v>14</v>
      </c>
      <c r="G585" s="7">
        <v>1639.5631</v>
      </c>
      <c r="H585" s="3"/>
    </row>
    <row r="586" ht="14.25" customHeight="1">
      <c r="A586" s="7">
        <v>39.0</v>
      </c>
      <c r="B586" s="7" t="s">
        <v>11</v>
      </c>
      <c r="C586" s="7">
        <v>45.43</v>
      </c>
      <c r="D586" s="7">
        <v>2.0</v>
      </c>
      <c r="E586" s="7" t="s">
        <v>12</v>
      </c>
      <c r="F586" s="7" t="s">
        <v>13</v>
      </c>
      <c r="G586" s="7">
        <v>6356.2707</v>
      </c>
      <c r="H586" s="3"/>
    </row>
    <row r="587" ht="14.25" customHeight="1">
      <c r="A587" s="7">
        <v>32.0</v>
      </c>
      <c r="B587" s="7" t="s">
        <v>8</v>
      </c>
      <c r="C587" s="7">
        <v>23.65</v>
      </c>
      <c r="D587" s="7">
        <v>1.0</v>
      </c>
      <c r="E587" s="7" t="s">
        <v>12</v>
      </c>
      <c r="F587" s="7" t="s">
        <v>13</v>
      </c>
      <c r="G587" s="7">
        <v>17626.23951</v>
      </c>
      <c r="H587" s="3"/>
    </row>
    <row r="588" ht="14.25" customHeight="1">
      <c r="A588" s="7">
        <v>19.0</v>
      </c>
      <c r="B588" s="7" t="s">
        <v>11</v>
      </c>
      <c r="C588" s="7">
        <v>20.7</v>
      </c>
      <c r="D588" s="7">
        <v>0.0</v>
      </c>
      <c r="E588" s="7" t="s">
        <v>12</v>
      </c>
      <c r="F588" s="7" t="s">
        <v>10</v>
      </c>
      <c r="G588" s="7">
        <v>1242.816</v>
      </c>
      <c r="H588" s="3"/>
    </row>
    <row r="589" ht="14.25" customHeight="1">
      <c r="A589" s="7">
        <v>33.0</v>
      </c>
      <c r="B589" s="7" t="s">
        <v>8</v>
      </c>
      <c r="C589" s="7">
        <v>28.27</v>
      </c>
      <c r="D589" s="7">
        <v>1.0</v>
      </c>
      <c r="E589" s="7" t="s">
        <v>12</v>
      </c>
      <c r="F589" s="7" t="s">
        <v>13</v>
      </c>
      <c r="G589" s="7">
        <v>4779.6023</v>
      </c>
      <c r="H589" s="3"/>
    </row>
    <row r="590" ht="14.25" customHeight="1">
      <c r="A590" s="7">
        <v>21.0</v>
      </c>
      <c r="B590" s="7" t="s">
        <v>11</v>
      </c>
      <c r="C590" s="7">
        <v>20.235</v>
      </c>
      <c r="D590" s="7">
        <v>3.0</v>
      </c>
      <c r="E590" s="7" t="s">
        <v>12</v>
      </c>
      <c r="F590" s="7" t="s">
        <v>15</v>
      </c>
      <c r="G590" s="7">
        <v>3861.20965</v>
      </c>
      <c r="H590" s="3"/>
    </row>
    <row r="591" ht="14.25" customHeight="1">
      <c r="A591" s="7">
        <v>34.0</v>
      </c>
      <c r="B591" s="7" t="s">
        <v>8</v>
      </c>
      <c r="C591" s="7">
        <v>30.21</v>
      </c>
      <c r="D591" s="7">
        <v>1.0</v>
      </c>
      <c r="E591" s="7" t="s">
        <v>9</v>
      </c>
      <c r="F591" s="7" t="s">
        <v>14</v>
      </c>
      <c r="G591" s="7">
        <v>43943.8761</v>
      </c>
      <c r="H591" s="3"/>
    </row>
    <row r="592" ht="14.25" customHeight="1">
      <c r="A592" s="7">
        <v>61.0</v>
      </c>
      <c r="B592" s="7" t="s">
        <v>8</v>
      </c>
      <c r="C592" s="7">
        <v>35.91</v>
      </c>
      <c r="D592" s="7">
        <v>0.0</v>
      </c>
      <c r="E592" s="7" t="s">
        <v>12</v>
      </c>
      <c r="F592" s="7" t="s">
        <v>15</v>
      </c>
      <c r="G592" s="7">
        <v>13635.6379</v>
      </c>
      <c r="H592" s="3"/>
    </row>
    <row r="593" ht="14.25" customHeight="1">
      <c r="A593" s="7">
        <v>38.0</v>
      </c>
      <c r="B593" s="7" t="s">
        <v>8</v>
      </c>
      <c r="C593" s="7">
        <v>30.69</v>
      </c>
      <c r="D593" s="7">
        <v>1.0</v>
      </c>
      <c r="E593" s="7" t="s">
        <v>12</v>
      </c>
      <c r="F593" s="7" t="s">
        <v>13</v>
      </c>
      <c r="G593" s="7">
        <v>5976.8311</v>
      </c>
      <c r="H593" s="3"/>
    </row>
    <row r="594" ht="14.25" customHeight="1">
      <c r="A594" s="7">
        <v>58.0</v>
      </c>
      <c r="B594" s="7" t="s">
        <v>8</v>
      </c>
      <c r="C594" s="7">
        <v>29.0</v>
      </c>
      <c r="D594" s="7">
        <v>0.0</v>
      </c>
      <c r="E594" s="7" t="s">
        <v>12</v>
      </c>
      <c r="F594" s="7" t="s">
        <v>10</v>
      </c>
      <c r="G594" s="7">
        <v>11842.442</v>
      </c>
      <c r="H594" s="3"/>
    </row>
    <row r="595" ht="14.25" customHeight="1">
      <c r="A595" s="7">
        <v>47.0</v>
      </c>
      <c r="B595" s="7" t="s">
        <v>11</v>
      </c>
      <c r="C595" s="7">
        <v>19.57</v>
      </c>
      <c r="D595" s="7">
        <v>1.0</v>
      </c>
      <c r="E595" s="7" t="s">
        <v>12</v>
      </c>
      <c r="F595" s="7" t="s">
        <v>14</v>
      </c>
      <c r="G595" s="7">
        <v>8428.0693</v>
      </c>
      <c r="H595" s="3"/>
    </row>
    <row r="596" ht="14.25" customHeight="1">
      <c r="A596" s="7">
        <v>20.0</v>
      </c>
      <c r="B596" s="7" t="s">
        <v>11</v>
      </c>
      <c r="C596" s="7">
        <v>31.13</v>
      </c>
      <c r="D596" s="7">
        <v>2.0</v>
      </c>
      <c r="E596" s="7" t="s">
        <v>12</v>
      </c>
      <c r="F596" s="7" t="s">
        <v>13</v>
      </c>
      <c r="G596" s="7">
        <v>2566.4707</v>
      </c>
      <c r="H596" s="3"/>
    </row>
    <row r="597" ht="14.25" customHeight="1">
      <c r="A597" s="7">
        <v>21.0</v>
      </c>
      <c r="B597" s="7" t="s">
        <v>8</v>
      </c>
      <c r="C597" s="7">
        <v>21.85</v>
      </c>
      <c r="D597" s="7">
        <v>1.0</v>
      </c>
      <c r="E597" s="7" t="s">
        <v>9</v>
      </c>
      <c r="F597" s="7" t="s">
        <v>15</v>
      </c>
      <c r="G597" s="7">
        <v>15359.1045</v>
      </c>
      <c r="H597" s="3"/>
    </row>
    <row r="598" ht="14.25" customHeight="1">
      <c r="A598" s="7">
        <v>41.0</v>
      </c>
      <c r="B598" s="7" t="s">
        <v>11</v>
      </c>
      <c r="C598" s="7">
        <v>40.26</v>
      </c>
      <c r="D598" s="7">
        <v>0.0</v>
      </c>
      <c r="E598" s="7" t="s">
        <v>12</v>
      </c>
      <c r="F598" s="7" t="s">
        <v>13</v>
      </c>
      <c r="G598" s="7">
        <v>5709.1644</v>
      </c>
      <c r="H598" s="3"/>
    </row>
    <row r="599" ht="14.25" customHeight="1">
      <c r="A599" s="7">
        <v>46.0</v>
      </c>
      <c r="B599" s="7" t="s">
        <v>8</v>
      </c>
      <c r="C599" s="7">
        <v>33.725</v>
      </c>
      <c r="D599" s="7">
        <v>1.0</v>
      </c>
      <c r="E599" s="7" t="s">
        <v>12</v>
      </c>
      <c r="F599" s="7" t="s">
        <v>15</v>
      </c>
      <c r="G599" s="7">
        <v>8823.98575</v>
      </c>
      <c r="H599" s="3"/>
    </row>
    <row r="600" ht="14.25" customHeight="1">
      <c r="A600" s="7">
        <v>42.0</v>
      </c>
      <c r="B600" s="7" t="s">
        <v>8</v>
      </c>
      <c r="C600" s="7">
        <v>29.48</v>
      </c>
      <c r="D600" s="7">
        <v>2.0</v>
      </c>
      <c r="E600" s="7" t="s">
        <v>12</v>
      </c>
      <c r="F600" s="7" t="s">
        <v>13</v>
      </c>
      <c r="G600" s="7">
        <v>7640.3092</v>
      </c>
      <c r="H600" s="3"/>
    </row>
    <row r="601" ht="14.25" customHeight="1">
      <c r="A601" s="7">
        <v>34.0</v>
      </c>
      <c r="B601" s="7" t="s">
        <v>8</v>
      </c>
      <c r="C601" s="7">
        <v>33.25</v>
      </c>
      <c r="D601" s="7">
        <v>1.0</v>
      </c>
      <c r="E601" s="7" t="s">
        <v>12</v>
      </c>
      <c r="F601" s="7" t="s">
        <v>15</v>
      </c>
      <c r="G601" s="7">
        <v>5594.8455</v>
      </c>
      <c r="H601" s="3"/>
    </row>
    <row r="602" ht="14.25" customHeight="1">
      <c r="A602" s="7">
        <v>43.0</v>
      </c>
      <c r="B602" s="7" t="s">
        <v>11</v>
      </c>
      <c r="C602" s="7">
        <v>32.6</v>
      </c>
      <c r="D602" s="7">
        <v>2.0</v>
      </c>
      <c r="E602" s="7" t="s">
        <v>12</v>
      </c>
      <c r="F602" s="7" t="s">
        <v>10</v>
      </c>
      <c r="G602" s="7">
        <v>7441.501</v>
      </c>
      <c r="H602" s="3"/>
    </row>
    <row r="603" ht="14.25" customHeight="1">
      <c r="A603" s="7">
        <v>52.0</v>
      </c>
      <c r="B603" s="7" t="s">
        <v>8</v>
      </c>
      <c r="C603" s="7">
        <v>37.525</v>
      </c>
      <c r="D603" s="7">
        <v>2.0</v>
      </c>
      <c r="E603" s="7" t="s">
        <v>12</v>
      </c>
      <c r="F603" s="7" t="s">
        <v>14</v>
      </c>
      <c r="G603" s="7">
        <v>33471.97189</v>
      </c>
      <c r="H603" s="3"/>
    </row>
    <row r="604" ht="14.25" customHeight="1">
      <c r="A604" s="7">
        <v>18.0</v>
      </c>
      <c r="B604" s="7" t="s">
        <v>8</v>
      </c>
      <c r="C604" s="7">
        <v>39.16</v>
      </c>
      <c r="D604" s="7">
        <v>0.0</v>
      </c>
      <c r="E604" s="7" t="s">
        <v>12</v>
      </c>
      <c r="F604" s="7" t="s">
        <v>13</v>
      </c>
      <c r="G604" s="7">
        <v>1633.0444</v>
      </c>
      <c r="H604" s="3"/>
    </row>
    <row r="605" ht="14.25" customHeight="1">
      <c r="A605" s="7">
        <v>51.0</v>
      </c>
      <c r="B605" s="7" t="s">
        <v>11</v>
      </c>
      <c r="C605" s="7">
        <v>31.635</v>
      </c>
      <c r="D605" s="7">
        <v>0.0</v>
      </c>
      <c r="E605" s="7" t="s">
        <v>12</v>
      </c>
      <c r="F605" s="7" t="s">
        <v>14</v>
      </c>
      <c r="G605" s="7">
        <v>9174.13565</v>
      </c>
      <c r="H605" s="3"/>
    </row>
    <row r="606" ht="14.25" customHeight="1">
      <c r="A606" s="7">
        <v>56.0</v>
      </c>
      <c r="B606" s="7" t="s">
        <v>8</v>
      </c>
      <c r="C606" s="7">
        <v>25.3</v>
      </c>
      <c r="D606" s="7">
        <v>0.0</v>
      </c>
      <c r="E606" s="7" t="s">
        <v>12</v>
      </c>
      <c r="F606" s="7" t="s">
        <v>10</v>
      </c>
      <c r="G606" s="7">
        <v>11070.535</v>
      </c>
      <c r="H606" s="3"/>
    </row>
    <row r="607" ht="14.25" customHeight="1">
      <c r="A607" s="7">
        <v>64.0</v>
      </c>
      <c r="B607" s="7" t="s">
        <v>8</v>
      </c>
      <c r="C607" s="7">
        <v>39.05</v>
      </c>
      <c r="D607" s="7">
        <v>3.0</v>
      </c>
      <c r="E607" s="7" t="s">
        <v>12</v>
      </c>
      <c r="F607" s="7" t="s">
        <v>13</v>
      </c>
      <c r="G607" s="7">
        <v>16085.1275</v>
      </c>
      <c r="H607" s="3"/>
    </row>
    <row r="608" ht="14.25" customHeight="1">
      <c r="A608" s="7">
        <v>19.0</v>
      </c>
      <c r="B608" s="7" t="s">
        <v>8</v>
      </c>
      <c r="C608" s="7">
        <v>28.31</v>
      </c>
      <c r="D608" s="7">
        <v>0.0</v>
      </c>
      <c r="E608" s="7" t="s">
        <v>9</v>
      </c>
      <c r="F608" s="7" t="s">
        <v>14</v>
      </c>
      <c r="G608" s="7">
        <v>17468.9839</v>
      </c>
      <c r="H608" s="3"/>
    </row>
    <row r="609" ht="14.25" customHeight="1">
      <c r="A609" s="7">
        <v>51.0</v>
      </c>
      <c r="B609" s="7" t="s">
        <v>8</v>
      </c>
      <c r="C609" s="7">
        <v>34.1</v>
      </c>
      <c r="D609" s="7">
        <v>0.0</v>
      </c>
      <c r="E609" s="7" t="s">
        <v>12</v>
      </c>
      <c r="F609" s="7" t="s">
        <v>13</v>
      </c>
      <c r="G609" s="7">
        <v>9283.562</v>
      </c>
      <c r="H609" s="3"/>
    </row>
    <row r="610" ht="14.25" customHeight="1">
      <c r="A610" s="7">
        <v>27.0</v>
      </c>
      <c r="B610" s="7" t="s">
        <v>8</v>
      </c>
      <c r="C610" s="7">
        <v>25.175</v>
      </c>
      <c r="D610" s="7">
        <v>0.0</v>
      </c>
      <c r="E610" s="7" t="s">
        <v>12</v>
      </c>
      <c r="F610" s="7" t="s">
        <v>15</v>
      </c>
      <c r="G610" s="7">
        <v>3558.62025</v>
      </c>
      <c r="H610" s="3"/>
    </row>
    <row r="611" ht="14.25" customHeight="1">
      <c r="A611" s="7">
        <v>59.0</v>
      </c>
      <c r="B611" s="7" t="s">
        <v>8</v>
      </c>
      <c r="C611" s="7">
        <v>23.655</v>
      </c>
      <c r="D611" s="7">
        <v>0.0</v>
      </c>
      <c r="E611" s="7" t="s">
        <v>9</v>
      </c>
      <c r="F611" s="7" t="s">
        <v>14</v>
      </c>
      <c r="G611" s="7">
        <v>25678.77845</v>
      </c>
      <c r="H611" s="3"/>
    </row>
    <row r="612" ht="14.25" customHeight="1">
      <c r="A612" s="7">
        <v>28.0</v>
      </c>
      <c r="B612" s="7" t="s">
        <v>11</v>
      </c>
      <c r="C612" s="7">
        <v>26.98</v>
      </c>
      <c r="D612" s="7">
        <v>2.0</v>
      </c>
      <c r="E612" s="7" t="s">
        <v>12</v>
      </c>
      <c r="F612" s="7" t="s">
        <v>15</v>
      </c>
      <c r="G612" s="7">
        <v>4435.0942</v>
      </c>
      <c r="H612" s="3"/>
    </row>
    <row r="613" ht="14.25" customHeight="1">
      <c r="A613" s="7">
        <v>30.0</v>
      </c>
      <c r="B613" s="7" t="s">
        <v>11</v>
      </c>
      <c r="C613" s="7">
        <v>37.8</v>
      </c>
      <c r="D613" s="7">
        <v>2.0</v>
      </c>
      <c r="E613" s="7" t="s">
        <v>9</v>
      </c>
      <c r="F613" s="7" t="s">
        <v>10</v>
      </c>
      <c r="G613" s="7">
        <v>39241.442</v>
      </c>
      <c r="H613" s="3"/>
    </row>
    <row r="614" ht="14.25" customHeight="1">
      <c r="A614" s="7">
        <v>47.0</v>
      </c>
      <c r="B614" s="7" t="s">
        <v>8</v>
      </c>
      <c r="C614" s="7">
        <v>29.37</v>
      </c>
      <c r="D614" s="7">
        <v>1.0</v>
      </c>
      <c r="E614" s="7" t="s">
        <v>12</v>
      </c>
      <c r="F614" s="7" t="s">
        <v>13</v>
      </c>
      <c r="G614" s="7">
        <v>8547.6913</v>
      </c>
      <c r="H614" s="3"/>
    </row>
    <row r="615" ht="14.25" customHeight="1">
      <c r="A615" s="7">
        <v>38.0</v>
      </c>
      <c r="B615" s="7" t="s">
        <v>8</v>
      </c>
      <c r="C615" s="7">
        <v>34.8</v>
      </c>
      <c r="D615" s="7">
        <v>2.0</v>
      </c>
      <c r="E615" s="7" t="s">
        <v>12</v>
      </c>
      <c r="F615" s="7" t="s">
        <v>10</v>
      </c>
      <c r="G615" s="7">
        <v>6571.544</v>
      </c>
      <c r="H615" s="3"/>
    </row>
    <row r="616" ht="14.25" customHeight="1">
      <c r="A616" s="7">
        <v>18.0</v>
      </c>
      <c r="B616" s="7" t="s">
        <v>8</v>
      </c>
      <c r="C616" s="7">
        <v>33.155</v>
      </c>
      <c r="D616" s="7">
        <v>0.0</v>
      </c>
      <c r="E616" s="7" t="s">
        <v>12</v>
      </c>
      <c r="F616" s="7" t="s">
        <v>15</v>
      </c>
      <c r="G616" s="7">
        <v>2207.69745</v>
      </c>
      <c r="H616" s="3"/>
    </row>
    <row r="617" ht="14.25" customHeight="1">
      <c r="A617" s="7">
        <v>34.0</v>
      </c>
      <c r="B617" s="7" t="s">
        <v>8</v>
      </c>
      <c r="C617" s="7">
        <v>19.0</v>
      </c>
      <c r="D617" s="7">
        <v>3.0</v>
      </c>
      <c r="E617" s="7" t="s">
        <v>12</v>
      </c>
      <c r="F617" s="7" t="s">
        <v>15</v>
      </c>
      <c r="G617" s="7">
        <v>6753.038</v>
      </c>
      <c r="H617" s="3"/>
    </row>
    <row r="618" ht="14.25" customHeight="1">
      <c r="A618" s="7">
        <v>20.0</v>
      </c>
      <c r="B618" s="7" t="s">
        <v>8</v>
      </c>
      <c r="C618" s="7">
        <v>33.0</v>
      </c>
      <c r="D618" s="7">
        <v>0.0</v>
      </c>
      <c r="E618" s="7" t="s">
        <v>12</v>
      </c>
      <c r="F618" s="7" t="s">
        <v>13</v>
      </c>
      <c r="G618" s="7">
        <v>1880.07</v>
      </c>
      <c r="H618" s="3"/>
    </row>
    <row r="619" ht="14.25" customHeight="1">
      <c r="A619" s="7">
        <v>47.0</v>
      </c>
      <c r="B619" s="7" t="s">
        <v>8</v>
      </c>
      <c r="C619" s="7">
        <v>36.63</v>
      </c>
      <c r="D619" s="7">
        <v>1.0</v>
      </c>
      <c r="E619" s="7" t="s">
        <v>9</v>
      </c>
      <c r="F619" s="7" t="s">
        <v>13</v>
      </c>
      <c r="G619" s="7">
        <v>42969.8527</v>
      </c>
      <c r="H619" s="3"/>
    </row>
    <row r="620" ht="14.25" customHeight="1">
      <c r="A620" s="7">
        <v>56.0</v>
      </c>
      <c r="B620" s="7" t="s">
        <v>8</v>
      </c>
      <c r="C620" s="7">
        <v>28.595</v>
      </c>
      <c r="D620" s="7">
        <v>0.0</v>
      </c>
      <c r="E620" s="7" t="s">
        <v>12</v>
      </c>
      <c r="F620" s="7" t="s">
        <v>15</v>
      </c>
      <c r="G620" s="7">
        <v>11658.11505</v>
      </c>
      <c r="H620" s="3"/>
    </row>
    <row r="621" ht="14.25" customHeight="1">
      <c r="A621" s="7">
        <v>49.0</v>
      </c>
      <c r="B621" s="7" t="s">
        <v>11</v>
      </c>
      <c r="C621" s="7">
        <v>25.6</v>
      </c>
      <c r="D621" s="7">
        <v>2.0</v>
      </c>
      <c r="E621" s="7" t="s">
        <v>9</v>
      </c>
      <c r="F621" s="7" t="s">
        <v>10</v>
      </c>
      <c r="G621" s="7">
        <v>23306.547</v>
      </c>
      <c r="H621" s="3"/>
    </row>
    <row r="622" ht="14.25" customHeight="1">
      <c r="A622" s="7">
        <v>19.0</v>
      </c>
      <c r="B622" s="7" t="s">
        <v>8</v>
      </c>
      <c r="C622" s="7">
        <v>33.11</v>
      </c>
      <c r="D622" s="7">
        <v>0.0</v>
      </c>
      <c r="E622" s="7" t="s">
        <v>9</v>
      </c>
      <c r="F622" s="7" t="s">
        <v>13</v>
      </c>
      <c r="G622" s="7">
        <v>34439.8559</v>
      </c>
      <c r="H622" s="3"/>
    </row>
    <row r="623" ht="14.25" customHeight="1">
      <c r="A623" s="7">
        <v>55.0</v>
      </c>
      <c r="B623" s="7" t="s">
        <v>8</v>
      </c>
      <c r="C623" s="7">
        <v>37.1</v>
      </c>
      <c r="D623" s="7">
        <v>0.0</v>
      </c>
      <c r="E623" s="7" t="s">
        <v>12</v>
      </c>
      <c r="F623" s="7" t="s">
        <v>10</v>
      </c>
      <c r="G623" s="7">
        <v>10713.644</v>
      </c>
      <c r="H623" s="3"/>
    </row>
    <row r="624" ht="14.25" customHeight="1">
      <c r="A624" s="7">
        <v>30.0</v>
      </c>
      <c r="B624" s="7" t="s">
        <v>11</v>
      </c>
      <c r="C624" s="7">
        <v>31.4</v>
      </c>
      <c r="D624" s="7">
        <v>1.0</v>
      </c>
      <c r="E624" s="7" t="s">
        <v>12</v>
      </c>
      <c r="F624" s="7" t="s">
        <v>10</v>
      </c>
      <c r="G624" s="7">
        <v>3659.346</v>
      </c>
      <c r="H624" s="3"/>
    </row>
    <row r="625" ht="14.25" customHeight="1">
      <c r="A625" s="7">
        <v>37.0</v>
      </c>
      <c r="B625" s="7" t="s">
        <v>11</v>
      </c>
      <c r="C625" s="7">
        <v>34.1</v>
      </c>
      <c r="D625" s="7">
        <v>4.0</v>
      </c>
      <c r="E625" s="7" t="s">
        <v>9</v>
      </c>
      <c r="F625" s="7" t="s">
        <v>10</v>
      </c>
      <c r="G625" s="7">
        <v>40182.246</v>
      </c>
      <c r="H625" s="3"/>
    </row>
    <row r="626" ht="14.25" customHeight="1">
      <c r="A626" s="7">
        <v>49.0</v>
      </c>
      <c r="B626" s="7" t="s">
        <v>8</v>
      </c>
      <c r="C626" s="7">
        <v>21.3</v>
      </c>
      <c r="D626" s="7">
        <v>1.0</v>
      </c>
      <c r="E626" s="7" t="s">
        <v>12</v>
      </c>
      <c r="F626" s="7" t="s">
        <v>10</v>
      </c>
      <c r="G626" s="7">
        <v>9182.17</v>
      </c>
      <c r="H626" s="3"/>
    </row>
    <row r="627" ht="14.25" customHeight="1">
      <c r="A627" s="7">
        <v>18.0</v>
      </c>
      <c r="B627" s="7" t="s">
        <v>11</v>
      </c>
      <c r="C627" s="7">
        <v>33.535</v>
      </c>
      <c r="D627" s="7">
        <v>0.0</v>
      </c>
      <c r="E627" s="7" t="s">
        <v>9</v>
      </c>
      <c r="F627" s="7" t="s">
        <v>15</v>
      </c>
      <c r="G627" s="7">
        <v>34617.84065</v>
      </c>
      <c r="H627" s="3"/>
    </row>
    <row r="628" ht="14.25" customHeight="1">
      <c r="A628" s="7">
        <v>59.0</v>
      </c>
      <c r="B628" s="7" t="s">
        <v>11</v>
      </c>
      <c r="C628" s="7">
        <v>28.785</v>
      </c>
      <c r="D628" s="7">
        <v>0.0</v>
      </c>
      <c r="E628" s="7" t="s">
        <v>12</v>
      </c>
      <c r="F628" s="7" t="s">
        <v>14</v>
      </c>
      <c r="G628" s="7">
        <v>12129.61415</v>
      </c>
      <c r="H628" s="3"/>
    </row>
    <row r="629" ht="14.25" customHeight="1">
      <c r="A629" s="7">
        <v>29.0</v>
      </c>
      <c r="B629" s="7" t="s">
        <v>8</v>
      </c>
      <c r="C629" s="7">
        <v>26.03</v>
      </c>
      <c r="D629" s="7">
        <v>0.0</v>
      </c>
      <c r="E629" s="7" t="s">
        <v>12</v>
      </c>
      <c r="F629" s="7" t="s">
        <v>14</v>
      </c>
      <c r="G629" s="7">
        <v>3736.4647</v>
      </c>
      <c r="H629" s="3"/>
    </row>
    <row r="630" ht="14.25" customHeight="1">
      <c r="A630" s="7">
        <v>36.0</v>
      </c>
      <c r="B630" s="7" t="s">
        <v>11</v>
      </c>
      <c r="C630" s="7">
        <v>28.88</v>
      </c>
      <c r="D630" s="7">
        <v>3.0</v>
      </c>
      <c r="E630" s="7" t="s">
        <v>12</v>
      </c>
      <c r="F630" s="7" t="s">
        <v>15</v>
      </c>
      <c r="G630" s="7">
        <v>6748.5912</v>
      </c>
      <c r="H630" s="3"/>
    </row>
    <row r="631" ht="14.25" customHeight="1">
      <c r="A631" s="7">
        <v>33.0</v>
      </c>
      <c r="B631" s="7" t="s">
        <v>11</v>
      </c>
      <c r="C631" s="7">
        <v>42.46</v>
      </c>
      <c r="D631" s="7">
        <v>1.0</v>
      </c>
      <c r="E631" s="7" t="s">
        <v>12</v>
      </c>
      <c r="F631" s="7" t="s">
        <v>13</v>
      </c>
      <c r="G631" s="7">
        <v>11326.71487</v>
      </c>
      <c r="H631" s="3"/>
    </row>
    <row r="632" ht="14.25" customHeight="1">
      <c r="A632" s="7">
        <v>58.0</v>
      </c>
      <c r="B632" s="7" t="s">
        <v>11</v>
      </c>
      <c r="C632" s="7">
        <v>38.0</v>
      </c>
      <c r="D632" s="7">
        <v>0.0</v>
      </c>
      <c r="E632" s="7" t="s">
        <v>12</v>
      </c>
      <c r="F632" s="7" t="s">
        <v>10</v>
      </c>
      <c r="G632" s="7">
        <v>11365.952</v>
      </c>
      <c r="H632" s="3"/>
    </row>
    <row r="633" ht="14.25" customHeight="1">
      <c r="A633" s="7">
        <v>44.0</v>
      </c>
      <c r="B633" s="7" t="s">
        <v>8</v>
      </c>
      <c r="C633" s="7">
        <v>38.95</v>
      </c>
      <c r="D633" s="7">
        <v>0.0</v>
      </c>
      <c r="E633" s="7" t="s">
        <v>9</v>
      </c>
      <c r="F633" s="7" t="s">
        <v>14</v>
      </c>
      <c r="G633" s="7">
        <v>42983.4585</v>
      </c>
      <c r="H633" s="3"/>
    </row>
    <row r="634" ht="14.25" customHeight="1">
      <c r="A634" s="7">
        <v>53.0</v>
      </c>
      <c r="B634" s="7" t="s">
        <v>11</v>
      </c>
      <c r="C634" s="7">
        <v>36.1</v>
      </c>
      <c r="D634" s="7">
        <v>1.0</v>
      </c>
      <c r="E634" s="7" t="s">
        <v>12</v>
      </c>
      <c r="F634" s="7" t="s">
        <v>10</v>
      </c>
      <c r="G634" s="7">
        <v>10085.846</v>
      </c>
      <c r="H634" s="3"/>
    </row>
    <row r="635" ht="14.25" customHeight="1">
      <c r="A635" s="7">
        <v>24.0</v>
      </c>
      <c r="B635" s="7" t="s">
        <v>11</v>
      </c>
      <c r="C635" s="7">
        <v>29.3</v>
      </c>
      <c r="D635" s="7">
        <v>0.0</v>
      </c>
      <c r="E635" s="7" t="s">
        <v>12</v>
      </c>
      <c r="F635" s="7" t="s">
        <v>10</v>
      </c>
      <c r="G635" s="7">
        <v>1977.815</v>
      </c>
      <c r="H635" s="3"/>
    </row>
    <row r="636" ht="14.25" customHeight="1">
      <c r="A636" s="7">
        <v>29.0</v>
      </c>
      <c r="B636" s="7" t="s">
        <v>8</v>
      </c>
      <c r="C636" s="7">
        <v>35.53</v>
      </c>
      <c r="D636" s="7">
        <v>0.0</v>
      </c>
      <c r="E636" s="7" t="s">
        <v>12</v>
      </c>
      <c r="F636" s="7" t="s">
        <v>13</v>
      </c>
      <c r="G636" s="7">
        <v>3366.6697</v>
      </c>
      <c r="H636" s="3"/>
    </row>
    <row r="637" ht="14.25" customHeight="1">
      <c r="A637" s="7">
        <v>40.0</v>
      </c>
      <c r="B637" s="7" t="s">
        <v>11</v>
      </c>
      <c r="C637" s="7">
        <v>22.705</v>
      </c>
      <c r="D637" s="7">
        <v>2.0</v>
      </c>
      <c r="E637" s="7" t="s">
        <v>12</v>
      </c>
      <c r="F637" s="7" t="s">
        <v>15</v>
      </c>
      <c r="G637" s="7">
        <v>7173.35995</v>
      </c>
      <c r="H637" s="3"/>
    </row>
    <row r="638" ht="14.25" customHeight="1">
      <c r="A638" s="7">
        <v>51.0</v>
      </c>
      <c r="B638" s="7" t="s">
        <v>11</v>
      </c>
      <c r="C638" s="7">
        <v>39.7</v>
      </c>
      <c r="D638" s="7">
        <v>1.0</v>
      </c>
      <c r="E638" s="7" t="s">
        <v>12</v>
      </c>
      <c r="F638" s="7" t="s">
        <v>10</v>
      </c>
      <c r="G638" s="7">
        <v>9391.346</v>
      </c>
      <c r="H638" s="3"/>
    </row>
    <row r="639" ht="14.25" customHeight="1">
      <c r="A639" s="7">
        <v>64.0</v>
      </c>
      <c r="B639" s="7" t="s">
        <v>11</v>
      </c>
      <c r="C639" s="7">
        <v>38.19</v>
      </c>
      <c r="D639" s="7">
        <v>0.0</v>
      </c>
      <c r="E639" s="7" t="s">
        <v>12</v>
      </c>
      <c r="F639" s="7" t="s">
        <v>15</v>
      </c>
      <c r="G639" s="7">
        <v>14410.9321</v>
      </c>
      <c r="H639" s="3"/>
    </row>
    <row r="640" ht="14.25" customHeight="1">
      <c r="A640" s="7">
        <v>19.0</v>
      </c>
      <c r="B640" s="7" t="s">
        <v>8</v>
      </c>
      <c r="C640" s="7">
        <v>24.51</v>
      </c>
      <c r="D640" s="7">
        <v>1.0</v>
      </c>
      <c r="E640" s="7" t="s">
        <v>12</v>
      </c>
      <c r="F640" s="7" t="s">
        <v>14</v>
      </c>
      <c r="G640" s="7">
        <v>2709.1119</v>
      </c>
      <c r="H640" s="3"/>
    </row>
    <row r="641" ht="14.25" customHeight="1">
      <c r="A641" s="7">
        <v>35.0</v>
      </c>
      <c r="B641" s="7" t="s">
        <v>8</v>
      </c>
      <c r="C641" s="7">
        <v>38.095</v>
      </c>
      <c r="D641" s="7">
        <v>2.0</v>
      </c>
      <c r="E641" s="7" t="s">
        <v>12</v>
      </c>
      <c r="F641" s="7" t="s">
        <v>15</v>
      </c>
      <c r="G641" s="7">
        <v>24915.04626</v>
      </c>
      <c r="H641" s="3"/>
    </row>
    <row r="642" ht="14.25" customHeight="1">
      <c r="A642" s="7">
        <v>39.0</v>
      </c>
      <c r="B642" s="7" t="s">
        <v>11</v>
      </c>
      <c r="C642" s="7">
        <v>26.41</v>
      </c>
      <c r="D642" s="7">
        <v>0.0</v>
      </c>
      <c r="E642" s="7" t="s">
        <v>9</v>
      </c>
      <c r="F642" s="7" t="s">
        <v>15</v>
      </c>
      <c r="G642" s="7">
        <v>20149.3229</v>
      </c>
      <c r="H642" s="3"/>
    </row>
    <row r="643" ht="14.25" customHeight="1">
      <c r="A643" s="7">
        <v>56.0</v>
      </c>
      <c r="B643" s="7" t="s">
        <v>11</v>
      </c>
      <c r="C643" s="7">
        <v>33.66</v>
      </c>
      <c r="D643" s="7">
        <v>4.0</v>
      </c>
      <c r="E643" s="7" t="s">
        <v>12</v>
      </c>
      <c r="F643" s="7" t="s">
        <v>13</v>
      </c>
      <c r="G643" s="7">
        <v>12949.1554</v>
      </c>
      <c r="H643" s="3"/>
    </row>
    <row r="644" ht="14.25" customHeight="1">
      <c r="A644" s="7">
        <v>33.0</v>
      </c>
      <c r="B644" s="7" t="s">
        <v>11</v>
      </c>
      <c r="C644" s="7">
        <v>42.4</v>
      </c>
      <c r="D644" s="7">
        <v>5.0</v>
      </c>
      <c r="E644" s="7" t="s">
        <v>12</v>
      </c>
      <c r="F644" s="7" t="s">
        <v>10</v>
      </c>
      <c r="G644" s="7">
        <v>6666.243</v>
      </c>
      <c r="H644" s="3"/>
    </row>
    <row r="645" ht="14.25" customHeight="1">
      <c r="A645" s="7">
        <v>42.0</v>
      </c>
      <c r="B645" s="7" t="s">
        <v>11</v>
      </c>
      <c r="C645" s="7">
        <v>28.31</v>
      </c>
      <c r="D645" s="7">
        <v>3.0</v>
      </c>
      <c r="E645" s="7" t="s">
        <v>9</v>
      </c>
      <c r="F645" s="7" t="s">
        <v>14</v>
      </c>
      <c r="G645" s="7">
        <v>32787.45859</v>
      </c>
      <c r="H645" s="3"/>
    </row>
    <row r="646" ht="14.25" customHeight="1">
      <c r="A646" s="7">
        <v>61.0</v>
      </c>
      <c r="B646" s="7" t="s">
        <v>11</v>
      </c>
      <c r="C646" s="7">
        <v>33.915</v>
      </c>
      <c r="D646" s="7">
        <v>0.0</v>
      </c>
      <c r="E646" s="7" t="s">
        <v>12</v>
      </c>
      <c r="F646" s="7" t="s">
        <v>15</v>
      </c>
      <c r="G646" s="7">
        <v>13143.86485</v>
      </c>
      <c r="H646" s="3"/>
    </row>
    <row r="647" ht="14.25" customHeight="1">
      <c r="A647" s="7">
        <v>23.0</v>
      </c>
      <c r="B647" s="7" t="s">
        <v>8</v>
      </c>
      <c r="C647" s="7">
        <v>34.96</v>
      </c>
      <c r="D647" s="7">
        <v>3.0</v>
      </c>
      <c r="E647" s="7" t="s">
        <v>12</v>
      </c>
      <c r="F647" s="7" t="s">
        <v>14</v>
      </c>
      <c r="G647" s="7">
        <v>4466.6214</v>
      </c>
      <c r="H647" s="3"/>
    </row>
    <row r="648" ht="14.25" customHeight="1">
      <c r="A648" s="7">
        <v>43.0</v>
      </c>
      <c r="B648" s="7" t="s">
        <v>11</v>
      </c>
      <c r="C648" s="7">
        <v>35.31</v>
      </c>
      <c r="D648" s="7">
        <v>2.0</v>
      </c>
      <c r="E648" s="7" t="s">
        <v>12</v>
      </c>
      <c r="F648" s="7" t="s">
        <v>13</v>
      </c>
      <c r="G648" s="7">
        <v>18806.14547</v>
      </c>
      <c r="H648" s="3"/>
    </row>
    <row r="649" ht="14.25" customHeight="1">
      <c r="A649" s="7">
        <v>48.0</v>
      </c>
      <c r="B649" s="7" t="s">
        <v>11</v>
      </c>
      <c r="C649" s="7">
        <v>30.78</v>
      </c>
      <c r="D649" s="7">
        <v>3.0</v>
      </c>
      <c r="E649" s="7" t="s">
        <v>12</v>
      </c>
      <c r="F649" s="7" t="s">
        <v>15</v>
      </c>
      <c r="G649" s="7">
        <v>10141.1362</v>
      </c>
      <c r="H649" s="3"/>
    </row>
    <row r="650" ht="14.25" customHeight="1">
      <c r="A650" s="7">
        <v>39.0</v>
      </c>
      <c r="B650" s="7" t="s">
        <v>11</v>
      </c>
      <c r="C650" s="7">
        <v>26.22</v>
      </c>
      <c r="D650" s="7">
        <v>1.0</v>
      </c>
      <c r="E650" s="7" t="s">
        <v>12</v>
      </c>
      <c r="F650" s="7" t="s">
        <v>14</v>
      </c>
      <c r="G650" s="7">
        <v>6123.5688</v>
      </c>
      <c r="H650" s="3"/>
    </row>
    <row r="651" ht="14.25" customHeight="1">
      <c r="A651" s="7">
        <v>40.0</v>
      </c>
      <c r="B651" s="7" t="s">
        <v>8</v>
      </c>
      <c r="C651" s="7">
        <v>23.37</v>
      </c>
      <c r="D651" s="7">
        <v>3.0</v>
      </c>
      <c r="E651" s="7" t="s">
        <v>12</v>
      </c>
      <c r="F651" s="7" t="s">
        <v>15</v>
      </c>
      <c r="G651" s="7">
        <v>8252.2843</v>
      </c>
      <c r="H651" s="3"/>
    </row>
    <row r="652" ht="14.25" customHeight="1">
      <c r="A652" s="7">
        <v>18.0</v>
      </c>
      <c r="B652" s="7" t="s">
        <v>11</v>
      </c>
      <c r="C652" s="7">
        <v>28.5</v>
      </c>
      <c r="D652" s="7">
        <v>0.0</v>
      </c>
      <c r="E652" s="7" t="s">
        <v>12</v>
      </c>
      <c r="F652" s="7" t="s">
        <v>15</v>
      </c>
      <c r="G652" s="7">
        <v>1712.227</v>
      </c>
      <c r="H652" s="3"/>
    </row>
    <row r="653" ht="14.25" customHeight="1">
      <c r="A653" s="7">
        <v>58.0</v>
      </c>
      <c r="B653" s="7" t="s">
        <v>8</v>
      </c>
      <c r="C653" s="7">
        <v>32.965</v>
      </c>
      <c r="D653" s="7">
        <v>0.0</v>
      </c>
      <c r="E653" s="7" t="s">
        <v>12</v>
      </c>
      <c r="F653" s="7" t="s">
        <v>15</v>
      </c>
      <c r="G653" s="7">
        <v>12430.95335</v>
      </c>
      <c r="H653" s="3"/>
    </row>
    <row r="654" ht="14.25" customHeight="1">
      <c r="A654" s="7">
        <v>49.0</v>
      </c>
      <c r="B654" s="7" t="s">
        <v>8</v>
      </c>
      <c r="C654" s="7">
        <v>42.68</v>
      </c>
      <c r="D654" s="7">
        <v>2.0</v>
      </c>
      <c r="E654" s="7" t="s">
        <v>12</v>
      </c>
      <c r="F654" s="7" t="s">
        <v>13</v>
      </c>
      <c r="G654" s="7">
        <v>9800.8882</v>
      </c>
      <c r="H654" s="3"/>
    </row>
    <row r="655" ht="14.25" customHeight="1">
      <c r="A655" s="7">
        <v>53.0</v>
      </c>
      <c r="B655" s="7" t="s">
        <v>8</v>
      </c>
      <c r="C655" s="7">
        <v>39.6</v>
      </c>
      <c r="D655" s="7">
        <v>1.0</v>
      </c>
      <c r="E655" s="7" t="s">
        <v>12</v>
      </c>
      <c r="F655" s="7" t="s">
        <v>13</v>
      </c>
      <c r="G655" s="7">
        <v>10579.711</v>
      </c>
      <c r="H655" s="3"/>
    </row>
    <row r="656" ht="14.25" customHeight="1">
      <c r="A656" s="7">
        <v>48.0</v>
      </c>
      <c r="B656" s="7" t="s">
        <v>8</v>
      </c>
      <c r="C656" s="7">
        <v>31.13</v>
      </c>
      <c r="D656" s="7">
        <v>0.0</v>
      </c>
      <c r="E656" s="7" t="s">
        <v>12</v>
      </c>
      <c r="F656" s="7" t="s">
        <v>13</v>
      </c>
      <c r="G656" s="7">
        <v>8280.6227</v>
      </c>
      <c r="H656" s="3"/>
    </row>
    <row r="657" ht="14.25" customHeight="1">
      <c r="A657" s="7">
        <v>45.0</v>
      </c>
      <c r="B657" s="7" t="s">
        <v>8</v>
      </c>
      <c r="C657" s="7">
        <v>36.3</v>
      </c>
      <c r="D657" s="7">
        <v>2.0</v>
      </c>
      <c r="E657" s="7" t="s">
        <v>12</v>
      </c>
      <c r="F657" s="7" t="s">
        <v>13</v>
      </c>
      <c r="G657" s="7">
        <v>8527.532</v>
      </c>
      <c r="H657" s="3"/>
    </row>
    <row r="658" ht="14.25" customHeight="1">
      <c r="A658" s="7">
        <v>59.0</v>
      </c>
      <c r="B658" s="7" t="s">
        <v>8</v>
      </c>
      <c r="C658" s="7">
        <v>35.2</v>
      </c>
      <c r="D658" s="7">
        <v>0.0</v>
      </c>
      <c r="E658" s="7" t="s">
        <v>12</v>
      </c>
      <c r="F658" s="7" t="s">
        <v>13</v>
      </c>
      <c r="G658" s="7">
        <v>12244.531</v>
      </c>
      <c r="H658" s="3"/>
    </row>
    <row r="659" ht="14.25" customHeight="1">
      <c r="A659" s="7">
        <v>52.0</v>
      </c>
      <c r="B659" s="7" t="s">
        <v>8</v>
      </c>
      <c r="C659" s="7">
        <v>25.3</v>
      </c>
      <c r="D659" s="7">
        <v>2.0</v>
      </c>
      <c r="E659" s="7" t="s">
        <v>9</v>
      </c>
      <c r="F659" s="7" t="s">
        <v>13</v>
      </c>
      <c r="G659" s="7">
        <v>24667.419</v>
      </c>
      <c r="H659" s="3"/>
    </row>
    <row r="660" ht="14.25" customHeight="1">
      <c r="A660" s="7">
        <v>26.0</v>
      </c>
      <c r="B660" s="7" t="s">
        <v>8</v>
      </c>
      <c r="C660" s="7">
        <v>42.4</v>
      </c>
      <c r="D660" s="7">
        <v>1.0</v>
      </c>
      <c r="E660" s="7" t="s">
        <v>12</v>
      </c>
      <c r="F660" s="7" t="s">
        <v>10</v>
      </c>
      <c r="G660" s="7">
        <v>3410.324</v>
      </c>
      <c r="H660" s="3"/>
    </row>
    <row r="661" ht="14.25" customHeight="1">
      <c r="A661" s="7">
        <v>27.0</v>
      </c>
      <c r="B661" s="7" t="s">
        <v>11</v>
      </c>
      <c r="C661" s="7">
        <v>33.155</v>
      </c>
      <c r="D661" s="7">
        <v>2.0</v>
      </c>
      <c r="E661" s="7" t="s">
        <v>12</v>
      </c>
      <c r="F661" s="7" t="s">
        <v>14</v>
      </c>
      <c r="G661" s="7">
        <v>4058.71245</v>
      </c>
      <c r="H661" s="3"/>
    </row>
    <row r="662" ht="14.25" customHeight="1">
      <c r="A662" s="7">
        <v>48.0</v>
      </c>
      <c r="B662" s="7" t="s">
        <v>8</v>
      </c>
      <c r="C662" s="7">
        <v>35.91</v>
      </c>
      <c r="D662" s="7">
        <v>1.0</v>
      </c>
      <c r="E662" s="7" t="s">
        <v>12</v>
      </c>
      <c r="F662" s="7" t="s">
        <v>15</v>
      </c>
      <c r="G662" s="7">
        <v>26392.26029</v>
      </c>
      <c r="H662" s="3"/>
    </row>
    <row r="663" ht="14.25" customHeight="1">
      <c r="A663" s="7">
        <v>57.0</v>
      </c>
      <c r="B663" s="7" t="s">
        <v>8</v>
      </c>
      <c r="C663" s="7">
        <v>28.785</v>
      </c>
      <c r="D663" s="7">
        <v>4.0</v>
      </c>
      <c r="E663" s="7" t="s">
        <v>12</v>
      </c>
      <c r="F663" s="7" t="s">
        <v>15</v>
      </c>
      <c r="G663" s="7">
        <v>14394.39815</v>
      </c>
      <c r="H663" s="3"/>
    </row>
    <row r="664" ht="14.25" customHeight="1">
      <c r="A664" s="7">
        <v>37.0</v>
      </c>
      <c r="B664" s="7" t="s">
        <v>11</v>
      </c>
      <c r="C664" s="7">
        <v>46.53</v>
      </c>
      <c r="D664" s="7">
        <v>3.0</v>
      </c>
      <c r="E664" s="7" t="s">
        <v>12</v>
      </c>
      <c r="F664" s="7" t="s">
        <v>13</v>
      </c>
      <c r="G664" s="7">
        <v>6435.6237</v>
      </c>
      <c r="H664" s="3"/>
    </row>
    <row r="665" ht="14.25" customHeight="1">
      <c r="A665" s="7">
        <v>57.0</v>
      </c>
      <c r="B665" s="7" t="s">
        <v>8</v>
      </c>
      <c r="C665" s="7">
        <v>23.98</v>
      </c>
      <c r="D665" s="7">
        <v>1.0</v>
      </c>
      <c r="E665" s="7" t="s">
        <v>12</v>
      </c>
      <c r="F665" s="7" t="s">
        <v>13</v>
      </c>
      <c r="G665" s="7">
        <v>22192.43711</v>
      </c>
      <c r="H665" s="3"/>
    </row>
    <row r="666" ht="14.25" customHeight="1">
      <c r="A666" s="7">
        <v>32.0</v>
      </c>
      <c r="B666" s="7" t="s">
        <v>8</v>
      </c>
      <c r="C666" s="7">
        <v>31.54</v>
      </c>
      <c r="D666" s="7">
        <v>1.0</v>
      </c>
      <c r="E666" s="7" t="s">
        <v>12</v>
      </c>
      <c r="F666" s="7" t="s">
        <v>15</v>
      </c>
      <c r="G666" s="7">
        <v>5148.5526</v>
      </c>
      <c r="H666" s="3"/>
    </row>
    <row r="667" ht="14.25" customHeight="1">
      <c r="A667" s="7">
        <v>18.0</v>
      </c>
      <c r="B667" s="7" t="s">
        <v>11</v>
      </c>
      <c r="C667" s="7">
        <v>33.66</v>
      </c>
      <c r="D667" s="7">
        <v>0.0</v>
      </c>
      <c r="E667" s="7" t="s">
        <v>12</v>
      </c>
      <c r="F667" s="7" t="s">
        <v>13</v>
      </c>
      <c r="G667" s="7">
        <v>1136.3994</v>
      </c>
      <c r="H667" s="3"/>
    </row>
    <row r="668" ht="14.25" customHeight="1">
      <c r="A668" s="7">
        <v>64.0</v>
      </c>
      <c r="B668" s="7" t="s">
        <v>8</v>
      </c>
      <c r="C668" s="7">
        <v>22.99</v>
      </c>
      <c r="D668" s="7">
        <v>0.0</v>
      </c>
      <c r="E668" s="7" t="s">
        <v>9</v>
      </c>
      <c r="F668" s="7" t="s">
        <v>13</v>
      </c>
      <c r="G668" s="7">
        <v>27037.9141</v>
      </c>
      <c r="H668" s="3"/>
    </row>
    <row r="669" ht="14.25" customHeight="1">
      <c r="A669" s="7">
        <v>43.0</v>
      </c>
      <c r="B669" s="7" t="s">
        <v>11</v>
      </c>
      <c r="C669" s="7">
        <v>38.06</v>
      </c>
      <c r="D669" s="7">
        <v>2.0</v>
      </c>
      <c r="E669" s="7" t="s">
        <v>9</v>
      </c>
      <c r="F669" s="7" t="s">
        <v>13</v>
      </c>
      <c r="G669" s="7">
        <v>42560.4304</v>
      </c>
      <c r="H669" s="3"/>
    </row>
    <row r="670" ht="14.25" customHeight="1">
      <c r="A670" s="7">
        <v>49.0</v>
      </c>
      <c r="B670" s="7" t="s">
        <v>11</v>
      </c>
      <c r="C670" s="7">
        <v>28.7</v>
      </c>
      <c r="D670" s="7">
        <v>1.0</v>
      </c>
      <c r="E670" s="7" t="s">
        <v>12</v>
      </c>
      <c r="F670" s="7" t="s">
        <v>10</v>
      </c>
      <c r="G670" s="7">
        <v>8703.456</v>
      </c>
      <c r="H670" s="3"/>
    </row>
    <row r="671" ht="14.25" customHeight="1">
      <c r="A671" s="7">
        <v>40.0</v>
      </c>
      <c r="B671" s="7" t="s">
        <v>8</v>
      </c>
      <c r="C671" s="7">
        <v>32.775</v>
      </c>
      <c r="D671" s="7">
        <v>2.0</v>
      </c>
      <c r="E671" s="7" t="s">
        <v>9</v>
      </c>
      <c r="F671" s="7" t="s">
        <v>14</v>
      </c>
      <c r="G671" s="7">
        <v>40003.33225</v>
      </c>
      <c r="H671" s="3"/>
    </row>
    <row r="672" ht="14.25" customHeight="1">
      <c r="A672" s="7">
        <v>62.0</v>
      </c>
      <c r="B672" s="7" t="s">
        <v>11</v>
      </c>
      <c r="C672" s="7">
        <v>32.015</v>
      </c>
      <c r="D672" s="7">
        <v>0.0</v>
      </c>
      <c r="E672" s="7" t="s">
        <v>9</v>
      </c>
      <c r="F672" s="7" t="s">
        <v>15</v>
      </c>
      <c r="G672" s="7">
        <v>45710.20785</v>
      </c>
      <c r="H672" s="3"/>
    </row>
    <row r="673" ht="14.25" customHeight="1">
      <c r="A673" s="7">
        <v>40.0</v>
      </c>
      <c r="B673" s="7" t="s">
        <v>8</v>
      </c>
      <c r="C673" s="7">
        <v>29.81</v>
      </c>
      <c r="D673" s="7">
        <v>1.0</v>
      </c>
      <c r="E673" s="7" t="s">
        <v>12</v>
      </c>
      <c r="F673" s="7" t="s">
        <v>13</v>
      </c>
      <c r="G673" s="7">
        <v>6500.2359</v>
      </c>
      <c r="H673" s="3"/>
    </row>
    <row r="674" ht="14.25" customHeight="1">
      <c r="A674" s="7">
        <v>30.0</v>
      </c>
      <c r="B674" s="7" t="s">
        <v>11</v>
      </c>
      <c r="C674" s="7">
        <v>31.57</v>
      </c>
      <c r="D674" s="7">
        <v>3.0</v>
      </c>
      <c r="E674" s="7" t="s">
        <v>12</v>
      </c>
      <c r="F674" s="7" t="s">
        <v>13</v>
      </c>
      <c r="G674" s="7">
        <v>4837.5823</v>
      </c>
      <c r="H674" s="3"/>
    </row>
    <row r="675" ht="14.25" customHeight="1">
      <c r="A675" s="7">
        <v>29.0</v>
      </c>
      <c r="B675" s="7" t="s">
        <v>8</v>
      </c>
      <c r="C675" s="7">
        <v>31.16</v>
      </c>
      <c r="D675" s="7">
        <v>0.0</v>
      </c>
      <c r="E675" s="7" t="s">
        <v>12</v>
      </c>
      <c r="F675" s="7" t="s">
        <v>15</v>
      </c>
      <c r="G675" s="7">
        <v>3943.5954</v>
      </c>
      <c r="H675" s="3"/>
    </row>
    <row r="676" ht="14.25" customHeight="1">
      <c r="A676" s="7">
        <v>36.0</v>
      </c>
      <c r="B676" s="7" t="s">
        <v>11</v>
      </c>
      <c r="C676" s="7">
        <v>29.7</v>
      </c>
      <c r="D676" s="7">
        <v>0.0</v>
      </c>
      <c r="E676" s="7" t="s">
        <v>12</v>
      </c>
      <c r="F676" s="7" t="s">
        <v>13</v>
      </c>
      <c r="G676" s="7">
        <v>4399.731</v>
      </c>
      <c r="H676" s="3"/>
    </row>
    <row r="677" ht="14.25" customHeight="1">
      <c r="A677" s="7">
        <v>41.0</v>
      </c>
      <c r="B677" s="7" t="s">
        <v>8</v>
      </c>
      <c r="C677" s="7">
        <v>31.02</v>
      </c>
      <c r="D677" s="7">
        <v>0.0</v>
      </c>
      <c r="E677" s="7" t="s">
        <v>12</v>
      </c>
      <c r="F677" s="7" t="s">
        <v>13</v>
      </c>
      <c r="G677" s="7">
        <v>6185.3208</v>
      </c>
      <c r="H677" s="3"/>
    </row>
    <row r="678" ht="14.25" customHeight="1">
      <c r="A678" s="7">
        <v>44.0</v>
      </c>
      <c r="B678" s="7" t="s">
        <v>8</v>
      </c>
      <c r="C678" s="7">
        <v>43.89</v>
      </c>
      <c r="D678" s="7">
        <v>2.0</v>
      </c>
      <c r="E678" s="7" t="s">
        <v>9</v>
      </c>
      <c r="F678" s="7" t="s">
        <v>13</v>
      </c>
      <c r="G678" s="7">
        <v>46200.9851</v>
      </c>
      <c r="H678" s="3"/>
    </row>
    <row r="679" ht="14.25" customHeight="1">
      <c r="A679" s="7">
        <v>45.0</v>
      </c>
      <c r="B679" s="7" t="s">
        <v>11</v>
      </c>
      <c r="C679" s="7">
        <v>21.375</v>
      </c>
      <c r="D679" s="7">
        <v>0.0</v>
      </c>
      <c r="E679" s="7" t="s">
        <v>12</v>
      </c>
      <c r="F679" s="7" t="s">
        <v>14</v>
      </c>
      <c r="G679" s="7">
        <v>7222.78625</v>
      </c>
      <c r="H679" s="3"/>
    </row>
    <row r="680" ht="14.25" customHeight="1">
      <c r="A680" s="7">
        <v>55.0</v>
      </c>
      <c r="B680" s="7" t="s">
        <v>8</v>
      </c>
      <c r="C680" s="7">
        <v>40.81</v>
      </c>
      <c r="D680" s="7">
        <v>3.0</v>
      </c>
      <c r="E680" s="7" t="s">
        <v>12</v>
      </c>
      <c r="F680" s="7" t="s">
        <v>13</v>
      </c>
      <c r="G680" s="7">
        <v>12485.8009</v>
      </c>
      <c r="H680" s="3"/>
    </row>
    <row r="681" ht="14.25" customHeight="1">
      <c r="A681" s="7">
        <v>60.0</v>
      </c>
      <c r="B681" s="7" t="s">
        <v>11</v>
      </c>
      <c r="C681" s="7">
        <v>31.35</v>
      </c>
      <c r="D681" s="7">
        <v>3.0</v>
      </c>
      <c r="E681" s="7" t="s">
        <v>9</v>
      </c>
      <c r="F681" s="7" t="s">
        <v>14</v>
      </c>
      <c r="G681" s="7">
        <v>46130.5265</v>
      </c>
      <c r="H681" s="3"/>
    </row>
    <row r="682" ht="14.25" customHeight="1">
      <c r="A682" s="7">
        <v>56.0</v>
      </c>
      <c r="B682" s="7" t="s">
        <v>11</v>
      </c>
      <c r="C682" s="7">
        <v>36.1</v>
      </c>
      <c r="D682" s="7">
        <v>3.0</v>
      </c>
      <c r="E682" s="7" t="s">
        <v>12</v>
      </c>
      <c r="F682" s="7" t="s">
        <v>10</v>
      </c>
      <c r="G682" s="7">
        <v>12363.547</v>
      </c>
      <c r="H682" s="3"/>
    </row>
    <row r="683" ht="14.25" customHeight="1">
      <c r="A683" s="7">
        <v>49.0</v>
      </c>
      <c r="B683" s="7" t="s">
        <v>8</v>
      </c>
      <c r="C683" s="7">
        <v>23.18</v>
      </c>
      <c r="D683" s="7">
        <v>2.0</v>
      </c>
      <c r="E683" s="7" t="s">
        <v>12</v>
      </c>
      <c r="F683" s="7" t="s">
        <v>14</v>
      </c>
      <c r="G683" s="7">
        <v>10156.7832</v>
      </c>
      <c r="H683" s="3"/>
    </row>
    <row r="684" ht="14.25" customHeight="1">
      <c r="A684" s="7">
        <v>21.0</v>
      </c>
      <c r="B684" s="7" t="s">
        <v>8</v>
      </c>
      <c r="C684" s="7">
        <v>17.4</v>
      </c>
      <c r="D684" s="7">
        <v>1.0</v>
      </c>
      <c r="E684" s="7" t="s">
        <v>12</v>
      </c>
      <c r="F684" s="7" t="s">
        <v>10</v>
      </c>
      <c r="G684" s="7">
        <v>2585.269</v>
      </c>
      <c r="H684" s="3"/>
    </row>
    <row r="685" ht="14.25" customHeight="1">
      <c r="A685" s="7">
        <v>19.0</v>
      </c>
      <c r="B685" s="7" t="s">
        <v>11</v>
      </c>
      <c r="C685" s="7">
        <v>20.3</v>
      </c>
      <c r="D685" s="7">
        <v>0.0</v>
      </c>
      <c r="E685" s="7" t="s">
        <v>12</v>
      </c>
      <c r="F685" s="7" t="s">
        <v>10</v>
      </c>
      <c r="G685" s="7">
        <v>1242.26</v>
      </c>
      <c r="H685" s="3"/>
    </row>
    <row r="686" ht="14.25" customHeight="1">
      <c r="A686" s="7">
        <v>39.0</v>
      </c>
      <c r="B686" s="7" t="s">
        <v>11</v>
      </c>
      <c r="C686" s="7">
        <v>35.3</v>
      </c>
      <c r="D686" s="7">
        <v>2.0</v>
      </c>
      <c r="E686" s="7" t="s">
        <v>9</v>
      </c>
      <c r="F686" s="7" t="s">
        <v>10</v>
      </c>
      <c r="G686" s="7">
        <v>40103.89</v>
      </c>
      <c r="H686" s="3"/>
    </row>
    <row r="687" ht="14.25" customHeight="1">
      <c r="A687" s="7">
        <v>53.0</v>
      </c>
      <c r="B687" s="7" t="s">
        <v>11</v>
      </c>
      <c r="C687" s="7">
        <v>24.32</v>
      </c>
      <c r="D687" s="7">
        <v>0.0</v>
      </c>
      <c r="E687" s="7" t="s">
        <v>12</v>
      </c>
      <c r="F687" s="7" t="s">
        <v>14</v>
      </c>
      <c r="G687" s="7">
        <v>9863.4718</v>
      </c>
      <c r="H687" s="3"/>
    </row>
    <row r="688" ht="14.25" customHeight="1">
      <c r="A688" s="7">
        <v>33.0</v>
      </c>
      <c r="B688" s="7" t="s">
        <v>8</v>
      </c>
      <c r="C688" s="7">
        <v>18.5</v>
      </c>
      <c r="D688" s="7">
        <v>1.0</v>
      </c>
      <c r="E688" s="7" t="s">
        <v>12</v>
      </c>
      <c r="F688" s="7" t="s">
        <v>10</v>
      </c>
      <c r="G688" s="7">
        <v>4766.022</v>
      </c>
      <c r="H688" s="3"/>
    </row>
    <row r="689" ht="14.25" customHeight="1">
      <c r="A689" s="7">
        <v>53.0</v>
      </c>
      <c r="B689" s="7" t="s">
        <v>11</v>
      </c>
      <c r="C689" s="7">
        <v>26.41</v>
      </c>
      <c r="D689" s="7">
        <v>2.0</v>
      </c>
      <c r="E689" s="7" t="s">
        <v>12</v>
      </c>
      <c r="F689" s="7" t="s">
        <v>15</v>
      </c>
      <c r="G689" s="7">
        <v>11244.3769</v>
      </c>
      <c r="H689" s="3"/>
    </row>
    <row r="690" ht="14.25" customHeight="1">
      <c r="A690" s="7">
        <v>42.0</v>
      </c>
      <c r="B690" s="7" t="s">
        <v>11</v>
      </c>
      <c r="C690" s="7">
        <v>26.125</v>
      </c>
      <c r="D690" s="7">
        <v>2.0</v>
      </c>
      <c r="E690" s="7" t="s">
        <v>12</v>
      </c>
      <c r="F690" s="7" t="s">
        <v>15</v>
      </c>
      <c r="G690" s="7">
        <v>7729.64575</v>
      </c>
      <c r="H690" s="3"/>
    </row>
    <row r="691" ht="14.25" customHeight="1">
      <c r="A691" s="7">
        <v>40.0</v>
      </c>
      <c r="B691" s="7" t="s">
        <v>11</v>
      </c>
      <c r="C691" s="7">
        <v>41.69</v>
      </c>
      <c r="D691" s="7">
        <v>0.0</v>
      </c>
      <c r="E691" s="7" t="s">
        <v>12</v>
      </c>
      <c r="F691" s="7" t="s">
        <v>13</v>
      </c>
      <c r="G691" s="7">
        <v>5438.7491</v>
      </c>
      <c r="H691" s="3"/>
    </row>
    <row r="692" ht="14.25" customHeight="1">
      <c r="A692" s="7">
        <v>47.0</v>
      </c>
      <c r="B692" s="7" t="s">
        <v>8</v>
      </c>
      <c r="C692" s="7">
        <v>24.1</v>
      </c>
      <c r="D692" s="7">
        <v>1.0</v>
      </c>
      <c r="E692" s="7" t="s">
        <v>12</v>
      </c>
      <c r="F692" s="7" t="s">
        <v>10</v>
      </c>
      <c r="G692" s="7">
        <v>26236.57997</v>
      </c>
      <c r="H692" s="3"/>
    </row>
    <row r="693" ht="14.25" customHeight="1">
      <c r="A693" s="7">
        <v>27.0</v>
      </c>
      <c r="B693" s="7" t="s">
        <v>11</v>
      </c>
      <c r="C693" s="7">
        <v>31.13</v>
      </c>
      <c r="D693" s="7">
        <v>1.0</v>
      </c>
      <c r="E693" s="7" t="s">
        <v>9</v>
      </c>
      <c r="F693" s="7" t="s">
        <v>13</v>
      </c>
      <c r="G693" s="7">
        <v>34806.4677</v>
      </c>
      <c r="H693" s="3"/>
    </row>
    <row r="694" ht="14.25" customHeight="1">
      <c r="A694" s="7">
        <v>21.0</v>
      </c>
      <c r="B694" s="7" t="s">
        <v>11</v>
      </c>
      <c r="C694" s="7">
        <v>27.36</v>
      </c>
      <c r="D694" s="7">
        <v>0.0</v>
      </c>
      <c r="E694" s="7" t="s">
        <v>12</v>
      </c>
      <c r="F694" s="7" t="s">
        <v>15</v>
      </c>
      <c r="G694" s="7">
        <v>2104.1134</v>
      </c>
      <c r="H694" s="3"/>
    </row>
    <row r="695" ht="14.25" customHeight="1">
      <c r="A695" s="7">
        <v>47.0</v>
      </c>
      <c r="B695" s="7" t="s">
        <v>11</v>
      </c>
      <c r="C695" s="7">
        <v>36.2</v>
      </c>
      <c r="D695" s="7">
        <v>1.0</v>
      </c>
      <c r="E695" s="7" t="s">
        <v>12</v>
      </c>
      <c r="F695" s="7" t="s">
        <v>10</v>
      </c>
      <c r="G695" s="7">
        <v>8068.185</v>
      </c>
      <c r="H695" s="3"/>
    </row>
    <row r="696" ht="14.25" customHeight="1">
      <c r="A696" s="7">
        <v>20.0</v>
      </c>
      <c r="B696" s="7" t="s">
        <v>11</v>
      </c>
      <c r="C696" s="7">
        <v>32.395</v>
      </c>
      <c r="D696" s="7">
        <v>1.0</v>
      </c>
      <c r="E696" s="7" t="s">
        <v>12</v>
      </c>
      <c r="F696" s="7" t="s">
        <v>14</v>
      </c>
      <c r="G696" s="7">
        <v>2362.22905</v>
      </c>
      <c r="H696" s="3"/>
    </row>
    <row r="697" ht="14.25" customHeight="1">
      <c r="A697" s="7">
        <v>24.0</v>
      </c>
      <c r="B697" s="7" t="s">
        <v>11</v>
      </c>
      <c r="C697" s="7">
        <v>23.655</v>
      </c>
      <c r="D697" s="7">
        <v>0.0</v>
      </c>
      <c r="E697" s="7" t="s">
        <v>12</v>
      </c>
      <c r="F697" s="7" t="s">
        <v>14</v>
      </c>
      <c r="G697" s="7">
        <v>2352.96845</v>
      </c>
      <c r="H697" s="3"/>
    </row>
    <row r="698" ht="14.25" customHeight="1">
      <c r="A698" s="7">
        <v>27.0</v>
      </c>
      <c r="B698" s="7" t="s">
        <v>8</v>
      </c>
      <c r="C698" s="7">
        <v>34.8</v>
      </c>
      <c r="D698" s="7">
        <v>1.0</v>
      </c>
      <c r="E698" s="7" t="s">
        <v>12</v>
      </c>
      <c r="F698" s="7" t="s">
        <v>10</v>
      </c>
      <c r="G698" s="7">
        <v>3577.999</v>
      </c>
      <c r="H698" s="3"/>
    </row>
    <row r="699" ht="14.25" customHeight="1">
      <c r="A699" s="7">
        <v>26.0</v>
      </c>
      <c r="B699" s="7" t="s">
        <v>8</v>
      </c>
      <c r="C699" s="7">
        <v>40.185</v>
      </c>
      <c r="D699" s="7">
        <v>0.0</v>
      </c>
      <c r="E699" s="7" t="s">
        <v>12</v>
      </c>
      <c r="F699" s="7" t="s">
        <v>14</v>
      </c>
      <c r="G699" s="7">
        <v>3201.24515</v>
      </c>
      <c r="H699" s="3"/>
    </row>
    <row r="700" ht="14.25" customHeight="1">
      <c r="A700" s="7">
        <v>53.0</v>
      </c>
      <c r="B700" s="7" t="s">
        <v>8</v>
      </c>
      <c r="C700" s="7">
        <v>32.3</v>
      </c>
      <c r="D700" s="7">
        <v>2.0</v>
      </c>
      <c r="E700" s="7" t="s">
        <v>12</v>
      </c>
      <c r="F700" s="7" t="s">
        <v>15</v>
      </c>
      <c r="G700" s="7">
        <v>29186.48236</v>
      </c>
      <c r="H700" s="3"/>
    </row>
    <row r="701" ht="14.25" customHeight="1">
      <c r="A701" s="7">
        <v>41.0</v>
      </c>
      <c r="B701" s="7" t="s">
        <v>11</v>
      </c>
      <c r="C701" s="7">
        <v>35.75</v>
      </c>
      <c r="D701" s="7">
        <v>1.0</v>
      </c>
      <c r="E701" s="7" t="s">
        <v>9</v>
      </c>
      <c r="F701" s="7" t="s">
        <v>13</v>
      </c>
      <c r="G701" s="7">
        <v>40273.6455</v>
      </c>
      <c r="H701" s="3"/>
    </row>
    <row r="702" ht="14.25" customHeight="1">
      <c r="A702" s="7">
        <v>56.0</v>
      </c>
      <c r="B702" s="7" t="s">
        <v>11</v>
      </c>
      <c r="C702" s="7">
        <v>33.725</v>
      </c>
      <c r="D702" s="7">
        <v>0.0</v>
      </c>
      <c r="E702" s="7" t="s">
        <v>12</v>
      </c>
      <c r="F702" s="7" t="s">
        <v>14</v>
      </c>
      <c r="G702" s="7">
        <v>10976.24575</v>
      </c>
      <c r="H702" s="3"/>
    </row>
    <row r="703" ht="14.25" customHeight="1">
      <c r="A703" s="7">
        <v>23.0</v>
      </c>
      <c r="B703" s="7" t="s">
        <v>8</v>
      </c>
      <c r="C703" s="7">
        <v>39.27</v>
      </c>
      <c r="D703" s="7">
        <v>2.0</v>
      </c>
      <c r="E703" s="7" t="s">
        <v>12</v>
      </c>
      <c r="F703" s="7" t="s">
        <v>13</v>
      </c>
      <c r="G703" s="7">
        <v>3500.6123</v>
      </c>
      <c r="H703" s="3"/>
    </row>
    <row r="704" ht="14.25" customHeight="1">
      <c r="A704" s="7">
        <v>21.0</v>
      </c>
      <c r="B704" s="7" t="s">
        <v>8</v>
      </c>
      <c r="C704" s="7">
        <v>34.87</v>
      </c>
      <c r="D704" s="7">
        <v>0.0</v>
      </c>
      <c r="E704" s="7" t="s">
        <v>12</v>
      </c>
      <c r="F704" s="7" t="s">
        <v>13</v>
      </c>
      <c r="G704" s="7">
        <v>2020.5523</v>
      </c>
      <c r="H704" s="3"/>
    </row>
    <row r="705" ht="14.25" customHeight="1">
      <c r="A705" s="7">
        <v>50.0</v>
      </c>
      <c r="B705" s="7" t="s">
        <v>8</v>
      </c>
      <c r="C705" s="7">
        <v>44.745</v>
      </c>
      <c r="D705" s="7">
        <v>0.0</v>
      </c>
      <c r="E705" s="7" t="s">
        <v>12</v>
      </c>
      <c r="F705" s="7" t="s">
        <v>15</v>
      </c>
      <c r="G705" s="7">
        <v>9541.69555</v>
      </c>
      <c r="H705" s="3"/>
    </row>
    <row r="706" ht="14.25" customHeight="1">
      <c r="A706" s="7">
        <v>53.0</v>
      </c>
      <c r="B706" s="7" t="s">
        <v>11</v>
      </c>
      <c r="C706" s="7">
        <v>41.47</v>
      </c>
      <c r="D706" s="7">
        <v>0.0</v>
      </c>
      <c r="E706" s="7" t="s">
        <v>12</v>
      </c>
      <c r="F706" s="7" t="s">
        <v>13</v>
      </c>
      <c r="G706" s="7">
        <v>9504.3103</v>
      </c>
      <c r="H706" s="3"/>
    </row>
    <row r="707" ht="14.25" customHeight="1">
      <c r="A707" s="7">
        <v>34.0</v>
      </c>
      <c r="B707" s="7" t="s">
        <v>8</v>
      </c>
      <c r="C707" s="7">
        <v>26.41</v>
      </c>
      <c r="D707" s="7">
        <v>1.0</v>
      </c>
      <c r="E707" s="7" t="s">
        <v>12</v>
      </c>
      <c r="F707" s="7" t="s">
        <v>14</v>
      </c>
      <c r="G707" s="7">
        <v>5385.3379</v>
      </c>
      <c r="H707" s="3"/>
    </row>
    <row r="708" ht="14.25" customHeight="1">
      <c r="A708" s="7">
        <v>47.0</v>
      </c>
      <c r="B708" s="7" t="s">
        <v>8</v>
      </c>
      <c r="C708" s="7">
        <v>29.545</v>
      </c>
      <c r="D708" s="7">
        <v>1.0</v>
      </c>
      <c r="E708" s="7" t="s">
        <v>12</v>
      </c>
      <c r="F708" s="7" t="s">
        <v>14</v>
      </c>
      <c r="G708" s="7">
        <v>8930.93455</v>
      </c>
      <c r="H708" s="3"/>
    </row>
    <row r="709" ht="14.25" customHeight="1">
      <c r="A709" s="7">
        <v>33.0</v>
      </c>
      <c r="B709" s="7" t="s">
        <v>8</v>
      </c>
      <c r="C709" s="7">
        <v>32.9</v>
      </c>
      <c r="D709" s="7">
        <v>2.0</v>
      </c>
      <c r="E709" s="7" t="s">
        <v>12</v>
      </c>
      <c r="F709" s="7" t="s">
        <v>10</v>
      </c>
      <c r="G709" s="7">
        <v>5375.038</v>
      </c>
      <c r="H709" s="3"/>
    </row>
    <row r="710" ht="14.25" customHeight="1">
      <c r="A710" s="7">
        <v>51.0</v>
      </c>
      <c r="B710" s="7" t="s">
        <v>8</v>
      </c>
      <c r="C710" s="7">
        <v>38.06</v>
      </c>
      <c r="D710" s="7">
        <v>0.0</v>
      </c>
      <c r="E710" s="7" t="s">
        <v>9</v>
      </c>
      <c r="F710" s="7" t="s">
        <v>13</v>
      </c>
      <c r="G710" s="7">
        <v>44400.4064</v>
      </c>
      <c r="H710" s="3"/>
    </row>
    <row r="711" ht="14.25" customHeight="1">
      <c r="A711" s="7">
        <v>49.0</v>
      </c>
      <c r="B711" s="7" t="s">
        <v>11</v>
      </c>
      <c r="C711" s="7">
        <v>28.69</v>
      </c>
      <c r="D711" s="7">
        <v>3.0</v>
      </c>
      <c r="E711" s="7" t="s">
        <v>12</v>
      </c>
      <c r="F711" s="7" t="s">
        <v>14</v>
      </c>
      <c r="G711" s="7">
        <v>10264.4421</v>
      </c>
      <c r="H711" s="3"/>
    </row>
    <row r="712" ht="14.25" customHeight="1">
      <c r="A712" s="7">
        <v>31.0</v>
      </c>
      <c r="B712" s="7" t="s">
        <v>8</v>
      </c>
      <c r="C712" s="7">
        <v>30.495</v>
      </c>
      <c r="D712" s="7">
        <v>3.0</v>
      </c>
      <c r="E712" s="7" t="s">
        <v>12</v>
      </c>
      <c r="F712" s="7" t="s">
        <v>15</v>
      </c>
      <c r="G712" s="7">
        <v>6113.23105</v>
      </c>
      <c r="H712" s="3"/>
    </row>
    <row r="713" ht="14.25" customHeight="1">
      <c r="A713" s="7">
        <v>36.0</v>
      </c>
      <c r="B713" s="7" t="s">
        <v>8</v>
      </c>
      <c r="C713" s="7">
        <v>27.74</v>
      </c>
      <c r="D713" s="7">
        <v>0.0</v>
      </c>
      <c r="E713" s="7" t="s">
        <v>12</v>
      </c>
      <c r="F713" s="7" t="s">
        <v>15</v>
      </c>
      <c r="G713" s="7">
        <v>5469.0066</v>
      </c>
      <c r="H713" s="3"/>
    </row>
    <row r="714" ht="14.25" customHeight="1">
      <c r="A714" s="7">
        <v>18.0</v>
      </c>
      <c r="B714" s="7" t="s">
        <v>11</v>
      </c>
      <c r="C714" s="7">
        <v>35.2</v>
      </c>
      <c r="D714" s="7">
        <v>1.0</v>
      </c>
      <c r="E714" s="7" t="s">
        <v>12</v>
      </c>
      <c r="F714" s="7" t="s">
        <v>13</v>
      </c>
      <c r="G714" s="7">
        <v>1727.54</v>
      </c>
      <c r="H714" s="3"/>
    </row>
    <row r="715" ht="14.25" customHeight="1">
      <c r="A715" s="7">
        <v>50.0</v>
      </c>
      <c r="B715" s="7" t="s">
        <v>8</v>
      </c>
      <c r="C715" s="7">
        <v>23.54</v>
      </c>
      <c r="D715" s="7">
        <v>2.0</v>
      </c>
      <c r="E715" s="7" t="s">
        <v>12</v>
      </c>
      <c r="F715" s="7" t="s">
        <v>13</v>
      </c>
      <c r="G715" s="7">
        <v>10107.2206</v>
      </c>
      <c r="H715" s="3"/>
    </row>
    <row r="716" ht="14.25" customHeight="1">
      <c r="A716" s="7">
        <v>43.0</v>
      </c>
      <c r="B716" s="7" t="s">
        <v>8</v>
      </c>
      <c r="C716" s="7">
        <v>30.685</v>
      </c>
      <c r="D716" s="7">
        <v>2.0</v>
      </c>
      <c r="E716" s="7" t="s">
        <v>12</v>
      </c>
      <c r="F716" s="7" t="s">
        <v>14</v>
      </c>
      <c r="G716" s="7">
        <v>8310.83915</v>
      </c>
      <c r="H716" s="3"/>
    </row>
    <row r="717" ht="14.25" customHeight="1">
      <c r="A717" s="7">
        <v>20.0</v>
      </c>
      <c r="B717" s="7" t="s">
        <v>11</v>
      </c>
      <c r="C717" s="7">
        <v>40.47</v>
      </c>
      <c r="D717" s="7">
        <v>0.0</v>
      </c>
      <c r="E717" s="7" t="s">
        <v>12</v>
      </c>
      <c r="F717" s="7" t="s">
        <v>15</v>
      </c>
      <c r="G717" s="7">
        <v>1984.4533</v>
      </c>
      <c r="H717" s="3"/>
    </row>
    <row r="718" ht="14.25" customHeight="1">
      <c r="A718" s="7">
        <v>24.0</v>
      </c>
      <c r="B718" s="7" t="s">
        <v>8</v>
      </c>
      <c r="C718" s="7">
        <v>22.6</v>
      </c>
      <c r="D718" s="7">
        <v>0.0</v>
      </c>
      <c r="E718" s="7" t="s">
        <v>12</v>
      </c>
      <c r="F718" s="7" t="s">
        <v>10</v>
      </c>
      <c r="G718" s="7">
        <v>2457.502</v>
      </c>
      <c r="H718" s="3"/>
    </row>
    <row r="719" ht="14.25" customHeight="1">
      <c r="A719" s="7">
        <v>60.0</v>
      </c>
      <c r="B719" s="7" t="s">
        <v>11</v>
      </c>
      <c r="C719" s="7">
        <v>28.9</v>
      </c>
      <c r="D719" s="7">
        <v>0.0</v>
      </c>
      <c r="E719" s="7" t="s">
        <v>12</v>
      </c>
      <c r="F719" s="7" t="s">
        <v>10</v>
      </c>
      <c r="G719" s="7">
        <v>12146.971</v>
      </c>
      <c r="H719" s="3"/>
    </row>
    <row r="720" ht="14.25" customHeight="1">
      <c r="A720" s="7">
        <v>49.0</v>
      </c>
      <c r="B720" s="7" t="s">
        <v>8</v>
      </c>
      <c r="C720" s="7">
        <v>22.61</v>
      </c>
      <c r="D720" s="7">
        <v>1.0</v>
      </c>
      <c r="E720" s="7" t="s">
        <v>12</v>
      </c>
      <c r="F720" s="7" t="s">
        <v>14</v>
      </c>
      <c r="G720" s="7">
        <v>9566.9909</v>
      </c>
      <c r="H720" s="3"/>
    </row>
    <row r="721" ht="14.25" customHeight="1">
      <c r="A721" s="7">
        <v>60.0</v>
      </c>
      <c r="B721" s="7" t="s">
        <v>11</v>
      </c>
      <c r="C721" s="7">
        <v>24.32</v>
      </c>
      <c r="D721" s="7">
        <v>1.0</v>
      </c>
      <c r="E721" s="7" t="s">
        <v>12</v>
      </c>
      <c r="F721" s="7" t="s">
        <v>14</v>
      </c>
      <c r="G721" s="7">
        <v>13112.6048</v>
      </c>
      <c r="H721" s="3"/>
    </row>
    <row r="722" ht="14.25" customHeight="1">
      <c r="A722" s="7">
        <v>51.0</v>
      </c>
      <c r="B722" s="7" t="s">
        <v>8</v>
      </c>
      <c r="C722" s="7">
        <v>36.67</v>
      </c>
      <c r="D722" s="7">
        <v>2.0</v>
      </c>
      <c r="E722" s="7" t="s">
        <v>12</v>
      </c>
      <c r="F722" s="7" t="s">
        <v>14</v>
      </c>
      <c r="G722" s="7">
        <v>10848.1343</v>
      </c>
      <c r="H722" s="3"/>
    </row>
    <row r="723" ht="14.25" customHeight="1">
      <c r="A723" s="7">
        <v>58.0</v>
      </c>
      <c r="B723" s="7" t="s">
        <v>8</v>
      </c>
      <c r="C723" s="7">
        <v>33.44</v>
      </c>
      <c r="D723" s="7">
        <v>0.0</v>
      </c>
      <c r="E723" s="7" t="s">
        <v>12</v>
      </c>
      <c r="F723" s="7" t="s">
        <v>14</v>
      </c>
      <c r="G723" s="7">
        <v>12231.6136</v>
      </c>
      <c r="H723" s="3"/>
    </row>
    <row r="724" ht="14.25" customHeight="1">
      <c r="A724" s="7">
        <v>51.0</v>
      </c>
      <c r="B724" s="7" t="s">
        <v>8</v>
      </c>
      <c r="C724" s="7">
        <v>40.66</v>
      </c>
      <c r="D724" s="7">
        <v>0.0</v>
      </c>
      <c r="E724" s="7" t="s">
        <v>12</v>
      </c>
      <c r="F724" s="7" t="s">
        <v>15</v>
      </c>
      <c r="G724" s="7">
        <v>9875.6804</v>
      </c>
      <c r="H724" s="3"/>
    </row>
    <row r="725" ht="14.25" customHeight="1">
      <c r="A725" s="7">
        <v>53.0</v>
      </c>
      <c r="B725" s="7" t="s">
        <v>11</v>
      </c>
      <c r="C725" s="7">
        <v>36.6</v>
      </c>
      <c r="D725" s="7">
        <v>3.0</v>
      </c>
      <c r="E725" s="7" t="s">
        <v>12</v>
      </c>
      <c r="F725" s="7" t="s">
        <v>10</v>
      </c>
      <c r="G725" s="7">
        <v>11264.541</v>
      </c>
      <c r="H725" s="3"/>
    </row>
    <row r="726" ht="14.25" customHeight="1">
      <c r="A726" s="7">
        <v>62.0</v>
      </c>
      <c r="B726" s="7" t="s">
        <v>11</v>
      </c>
      <c r="C726" s="7">
        <v>37.4</v>
      </c>
      <c r="D726" s="7">
        <v>0.0</v>
      </c>
      <c r="E726" s="7" t="s">
        <v>12</v>
      </c>
      <c r="F726" s="7" t="s">
        <v>10</v>
      </c>
      <c r="G726" s="7">
        <v>12979.358</v>
      </c>
      <c r="H726" s="3"/>
    </row>
    <row r="727" ht="14.25" customHeight="1">
      <c r="A727" s="7">
        <v>19.0</v>
      </c>
      <c r="B727" s="7" t="s">
        <v>11</v>
      </c>
      <c r="C727" s="7">
        <v>35.4</v>
      </c>
      <c r="D727" s="7">
        <v>0.0</v>
      </c>
      <c r="E727" s="7" t="s">
        <v>12</v>
      </c>
      <c r="F727" s="7" t="s">
        <v>10</v>
      </c>
      <c r="G727" s="7">
        <v>1263.249</v>
      </c>
      <c r="H727" s="3"/>
    </row>
    <row r="728" ht="14.25" customHeight="1">
      <c r="A728" s="7">
        <v>50.0</v>
      </c>
      <c r="B728" s="7" t="s">
        <v>8</v>
      </c>
      <c r="C728" s="7">
        <v>27.075</v>
      </c>
      <c r="D728" s="7">
        <v>1.0</v>
      </c>
      <c r="E728" s="7" t="s">
        <v>12</v>
      </c>
      <c r="F728" s="7" t="s">
        <v>15</v>
      </c>
      <c r="G728" s="7">
        <v>10106.13425</v>
      </c>
      <c r="H728" s="3"/>
    </row>
    <row r="729" ht="14.25" customHeight="1">
      <c r="A729" s="7">
        <v>30.0</v>
      </c>
      <c r="B729" s="7" t="s">
        <v>8</v>
      </c>
      <c r="C729" s="7">
        <v>39.05</v>
      </c>
      <c r="D729" s="7">
        <v>3.0</v>
      </c>
      <c r="E729" s="7" t="s">
        <v>9</v>
      </c>
      <c r="F729" s="7" t="s">
        <v>13</v>
      </c>
      <c r="G729" s="7">
        <v>40932.4295</v>
      </c>
      <c r="H729" s="3"/>
    </row>
    <row r="730" ht="14.25" customHeight="1">
      <c r="A730" s="7">
        <v>41.0</v>
      </c>
      <c r="B730" s="7" t="s">
        <v>11</v>
      </c>
      <c r="C730" s="7">
        <v>28.405</v>
      </c>
      <c r="D730" s="7">
        <v>1.0</v>
      </c>
      <c r="E730" s="7" t="s">
        <v>12</v>
      </c>
      <c r="F730" s="7" t="s">
        <v>14</v>
      </c>
      <c r="G730" s="7">
        <v>6664.68595</v>
      </c>
      <c r="H730" s="3"/>
    </row>
    <row r="731" ht="14.25" customHeight="1">
      <c r="A731" s="7">
        <v>29.0</v>
      </c>
      <c r="B731" s="7" t="s">
        <v>8</v>
      </c>
      <c r="C731" s="7">
        <v>21.755</v>
      </c>
      <c r="D731" s="7">
        <v>1.0</v>
      </c>
      <c r="E731" s="7" t="s">
        <v>9</v>
      </c>
      <c r="F731" s="7" t="s">
        <v>15</v>
      </c>
      <c r="G731" s="7">
        <v>16657.71745</v>
      </c>
      <c r="H731" s="3"/>
    </row>
    <row r="732" ht="14.25" customHeight="1">
      <c r="A732" s="7">
        <v>18.0</v>
      </c>
      <c r="B732" s="7" t="s">
        <v>8</v>
      </c>
      <c r="C732" s="7">
        <v>40.28</v>
      </c>
      <c r="D732" s="7">
        <v>0.0</v>
      </c>
      <c r="E732" s="7" t="s">
        <v>12</v>
      </c>
      <c r="F732" s="7" t="s">
        <v>15</v>
      </c>
      <c r="G732" s="7">
        <v>2217.6012</v>
      </c>
      <c r="H732" s="3"/>
    </row>
    <row r="733" ht="14.25" customHeight="1">
      <c r="A733" s="7">
        <v>41.0</v>
      </c>
      <c r="B733" s="7" t="s">
        <v>8</v>
      </c>
      <c r="C733" s="7">
        <v>36.08</v>
      </c>
      <c r="D733" s="7">
        <v>1.0</v>
      </c>
      <c r="E733" s="7" t="s">
        <v>12</v>
      </c>
      <c r="F733" s="7" t="s">
        <v>13</v>
      </c>
      <c r="G733" s="7">
        <v>6781.3542</v>
      </c>
      <c r="H733" s="3"/>
    </row>
    <row r="734" ht="14.25" customHeight="1">
      <c r="A734" s="7">
        <v>35.0</v>
      </c>
      <c r="B734" s="7" t="s">
        <v>11</v>
      </c>
      <c r="C734" s="7">
        <v>24.42</v>
      </c>
      <c r="D734" s="7">
        <v>3.0</v>
      </c>
      <c r="E734" s="7" t="s">
        <v>9</v>
      </c>
      <c r="F734" s="7" t="s">
        <v>13</v>
      </c>
      <c r="G734" s="7">
        <v>19361.9988</v>
      </c>
      <c r="H734" s="3"/>
    </row>
    <row r="735" ht="14.25" customHeight="1">
      <c r="A735" s="7">
        <v>53.0</v>
      </c>
      <c r="B735" s="7" t="s">
        <v>11</v>
      </c>
      <c r="C735" s="7">
        <v>21.4</v>
      </c>
      <c r="D735" s="7">
        <v>1.0</v>
      </c>
      <c r="E735" s="7" t="s">
        <v>12</v>
      </c>
      <c r="F735" s="7" t="s">
        <v>10</v>
      </c>
      <c r="G735" s="7">
        <v>10065.413</v>
      </c>
      <c r="H735" s="3"/>
    </row>
    <row r="736" ht="14.25" customHeight="1">
      <c r="A736" s="7">
        <v>24.0</v>
      </c>
      <c r="B736" s="7" t="s">
        <v>8</v>
      </c>
      <c r="C736" s="7">
        <v>30.1</v>
      </c>
      <c r="D736" s="7">
        <v>3.0</v>
      </c>
      <c r="E736" s="7" t="s">
        <v>12</v>
      </c>
      <c r="F736" s="7" t="s">
        <v>10</v>
      </c>
      <c r="G736" s="7">
        <v>4234.927</v>
      </c>
      <c r="H736" s="3"/>
    </row>
    <row r="737" ht="14.25" customHeight="1">
      <c r="A737" s="7">
        <v>48.0</v>
      </c>
      <c r="B737" s="7" t="s">
        <v>8</v>
      </c>
      <c r="C737" s="7">
        <v>27.265</v>
      </c>
      <c r="D737" s="7">
        <v>1.0</v>
      </c>
      <c r="E737" s="7" t="s">
        <v>12</v>
      </c>
      <c r="F737" s="7" t="s">
        <v>15</v>
      </c>
      <c r="G737" s="7">
        <v>9447.25035</v>
      </c>
      <c r="H737" s="3"/>
    </row>
    <row r="738" ht="14.25" customHeight="1">
      <c r="A738" s="7">
        <v>59.0</v>
      </c>
      <c r="B738" s="7" t="s">
        <v>8</v>
      </c>
      <c r="C738" s="7">
        <v>32.1</v>
      </c>
      <c r="D738" s="7">
        <v>3.0</v>
      </c>
      <c r="E738" s="7" t="s">
        <v>12</v>
      </c>
      <c r="F738" s="7" t="s">
        <v>10</v>
      </c>
      <c r="G738" s="7">
        <v>14007.222</v>
      </c>
      <c r="H738" s="3"/>
    </row>
    <row r="739" ht="14.25" customHeight="1">
      <c r="A739" s="7">
        <v>49.0</v>
      </c>
      <c r="B739" s="7" t="s">
        <v>8</v>
      </c>
      <c r="C739" s="7">
        <v>34.77</v>
      </c>
      <c r="D739" s="7">
        <v>1.0</v>
      </c>
      <c r="E739" s="7" t="s">
        <v>12</v>
      </c>
      <c r="F739" s="7" t="s">
        <v>14</v>
      </c>
      <c r="G739" s="7">
        <v>9583.8933</v>
      </c>
      <c r="H739" s="3"/>
    </row>
    <row r="740" ht="14.25" customHeight="1">
      <c r="A740" s="7">
        <v>37.0</v>
      </c>
      <c r="B740" s="7" t="s">
        <v>8</v>
      </c>
      <c r="C740" s="7">
        <v>38.39</v>
      </c>
      <c r="D740" s="7">
        <v>0.0</v>
      </c>
      <c r="E740" s="7" t="s">
        <v>9</v>
      </c>
      <c r="F740" s="7" t="s">
        <v>13</v>
      </c>
      <c r="G740" s="7">
        <v>40419.0191</v>
      </c>
      <c r="H740" s="3"/>
    </row>
    <row r="741" ht="14.25" customHeight="1">
      <c r="A741" s="7">
        <v>26.0</v>
      </c>
      <c r="B741" s="7" t="s">
        <v>11</v>
      </c>
      <c r="C741" s="7">
        <v>23.7</v>
      </c>
      <c r="D741" s="7">
        <v>2.0</v>
      </c>
      <c r="E741" s="7" t="s">
        <v>12</v>
      </c>
      <c r="F741" s="7" t="s">
        <v>10</v>
      </c>
      <c r="G741" s="7">
        <v>3484.331</v>
      </c>
      <c r="H741" s="3"/>
    </row>
    <row r="742" ht="14.25" customHeight="1">
      <c r="A742" s="7">
        <v>23.0</v>
      </c>
      <c r="B742" s="7" t="s">
        <v>11</v>
      </c>
      <c r="C742" s="7">
        <v>31.73</v>
      </c>
      <c r="D742" s="7">
        <v>3.0</v>
      </c>
      <c r="E742" s="7" t="s">
        <v>9</v>
      </c>
      <c r="F742" s="7" t="s">
        <v>15</v>
      </c>
      <c r="G742" s="7">
        <v>36189.1017</v>
      </c>
      <c r="H742" s="3"/>
    </row>
    <row r="743" ht="14.25" customHeight="1">
      <c r="A743" s="7">
        <v>29.0</v>
      </c>
      <c r="B743" s="7" t="s">
        <v>11</v>
      </c>
      <c r="C743" s="7">
        <v>35.5</v>
      </c>
      <c r="D743" s="7">
        <v>2.0</v>
      </c>
      <c r="E743" s="7" t="s">
        <v>9</v>
      </c>
      <c r="F743" s="7" t="s">
        <v>10</v>
      </c>
      <c r="G743" s="7">
        <v>44585.45587</v>
      </c>
      <c r="H743" s="3"/>
    </row>
    <row r="744" ht="14.25" customHeight="1">
      <c r="A744" s="7">
        <v>45.0</v>
      </c>
      <c r="B744" s="7" t="s">
        <v>11</v>
      </c>
      <c r="C744" s="7">
        <v>24.035</v>
      </c>
      <c r="D744" s="7">
        <v>2.0</v>
      </c>
      <c r="E744" s="7" t="s">
        <v>12</v>
      </c>
      <c r="F744" s="7" t="s">
        <v>15</v>
      </c>
      <c r="G744" s="7">
        <v>8604.48365</v>
      </c>
      <c r="H744" s="3"/>
    </row>
    <row r="745" ht="14.25" customHeight="1">
      <c r="A745" s="7">
        <v>27.0</v>
      </c>
      <c r="B745" s="7" t="s">
        <v>11</v>
      </c>
      <c r="C745" s="7">
        <v>29.15</v>
      </c>
      <c r="D745" s="7">
        <v>0.0</v>
      </c>
      <c r="E745" s="7" t="s">
        <v>9</v>
      </c>
      <c r="F745" s="7" t="s">
        <v>13</v>
      </c>
      <c r="G745" s="7">
        <v>18246.4955</v>
      </c>
      <c r="H745" s="3"/>
    </row>
    <row r="746" ht="14.25" customHeight="1">
      <c r="A746" s="7">
        <v>53.0</v>
      </c>
      <c r="B746" s="7" t="s">
        <v>11</v>
      </c>
      <c r="C746" s="7">
        <v>34.105</v>
      </c>
      <c r="D746" s="7">
        <v>0.0</v>
      </c>
      <c r="E746" s="7" t="s">
        <v>9</v>
      </c>
      <c r="F746" s="7" t="s">
        <v>15</v>
      </c>
      <c r="G746" s="7">
        <v>43254.41795</v>
      </c>
      <c r="H746" s="3"/>
    </row>
    <row r="747" ht="14.25" customHeight="1">
      <c r="A747" s="7">
        <v>31.0</v>
      </c>
      <c r="B747" s="7" t="s">
        <v>8</v>
      </c>
      <c r="C747" s="7">
        <v>26.62</v>
      </c>
      <c r="D747" s="7">
        <v>0.0</v>
      </c>
      <c r="E747" s="7" t="s">
        <v>12</v>
      </c>
      <c r="F747" s="7" t="s">
        <v>13</v>
      </c>
      <c r="G747" s="7">
        <v>3757.8448</v>
      </c>
      <c r="H747" s="3"/>
    </row>
    <row r="748" ht="14.25" customHeight="1">
      <c r="A748" s="7">
        <v>50.0</v>
      </c>
      <c r="B748" s="7" t="s">
        <v>11</v>
      </c>
      <c r="C748" s="7">
        <v>26.41</v>
      </c>
      <c r="D748" s="7">
        <v>0.0</v>
      </c>
      <c r="E748" s="7" t="s">
        <v>12</v>
      </c>
      <c r="F748" s="7" t="s">
        <v>14</v>
      </c>
      <c r="G748" s="7">
        <v>8827.2099</v>
      </c>
      <c r="H748" s="3"/>
    </row>
    <row r="749" ht="14.25" customHeight="1">
      <c r="A749" s="7">
        <v>50.0</v>
      </c>
      <c r="B749" s="7" t="s">
        <v>8</v>
      </c>
      <c r="C749" s="7">
        <v>30.115</v>
      </c>
      <c r="D749" s="7">
        <v>1.0</v>
      </c>
      <c r="E749" s="7" t="s">
        <v>12</v>
      </c>
      <c r="F749" s="7" t="s">
        <v>14</v>
      </c>
      <c r="G749" s="7">
        <v>9910.35985</v>
      </c>
      <c r="H749" s="3"/>
    </row>
    <row r="750" ht="14.25" customHeight="1">
      <c r="A750" s="7">
        <v>34.0</v>
      </c>
      <c r="B750" s="7" t="s">
        <v>11</v>
      </c>
      <c r="C750" s="7">
        <v>27.0</v>
      </c>
      <c r="D750" s="7">
        <v>2.0</v>
      </c>
      <c r="E750" s="7" t="s">
        <v>12</v>
      </c>
      <c r="F750" s="7" t="s">
        <v>10</v>
      </c>
      <c r="G750" s="7">
        <v>11737.84884</v>
      </c>
      <c r="H750" s="3"/>
    </row>
    <row r="751" ht="14.25" customHeight="1">
      <c r="A751" s="7">
        <v>19.0</v>
      </c>
      <c r="B751" s="7" t="s">
        <v>11</v>
      </c>
      <c r="C751" s="7">
        <v>21.755</v>
      </c>
      <c r="D751" s="7">
        <v>0.0</v>
      </c>
      <c r="E751" s="7" t="s">
        <v>12</v>
      </c>
      <c r="F751" s="7" t="s">
        <v>14</v>
      </c>
      <c r="G751" s="7">
        <v>1627.28245</v>
      </c>
      <c r="H751" s="3"/>
    </row>
    <row r="752" ht="14.25" customHeight="1">
      <c r="A752" s="7">
        <v>47.0</v>
      </c>
      <c r="B752" s="7" t="s">
        <v>8</v>
      </c>
      <c r="C752" s="7">
        <v>36.0</v>
      </c>
      <c r="D752" s="7">
        <v>1.0</v>
      </c>
      <c r="E752" s="7" t="s">
        <v>12</v>
      </c>
      <c r="F752" s="7" t="s">
        <v>10</v>
      </c>
      <c r="G752" s="7">
        <v>8556.907</v>
      </c>
      <c r="H752" s="3"/>
    </row>
    <row r="753" ht="14.25" customHeight="1">
      <c r="A753" s="7">
        <v>28.0</v>
      </c>
      <c r="B753" s="7" t="s">
        <v>11</v>
      </c>
      <c r="C753" s="7">
        <v>30.875</v>
      </c>
      <c r="D753" s="7">
        <v>0.0</v>
      </c>
      <c r="E753" s="7" t="s">
        <v>12</v>
      </c>
      <c r="F753" s="7" t="s">
        <v>14</v>
      </c>
      <c r="G753" s="7">
        <v>3062.50825</v>
      </c>
      <c r="H753" s="3"/>
    </row>
    <row r="754" ht="14.25" customHeight="1">
      <c r="A754" s="7">
        <v>37.0</v>
      </c>
      <c r="B754" s="7" t="s">
        <v>8</v>
      </c>
      <c r="C754" s="7">
        <v>26.4</v>
      </c>
      <c r="D754" s="7">
        <v>0.0</v>
      </c>
      <c r="E754" s="7" t="s">
        <v>9</v>
      </c>
      <c r="F754" s="7" t="s">
        <v>13</v>
      </c>
      <c r="G754" s="7">
        <v>19539.243</v>
      </c>
      <c r="H754" s="3"/>
    </row>
    <row r="755" ht="14.25" customHeight="1">
      <c r="A755" s="7">
        <v>21.0</v>
      </c>
      <c r="B755" s="7" t="s">
        <v>11</v>
      </c>
      <c r="C755" s="7">
        <v>28.975</v>
      </c>
      <c r="D755" s="7">
        <v>0.0</v>
      </c>
      <c r="E755" s="7" t="s">
        <v>12</v>
      </c>
      <c r="F755" s="7" t="s">
        <v>14</v>
      </c>
      <c r="G755" s="7">
        <v>1906.35825</v>
      </c>
      <c r="H755" s="3"/>
    </row>
    <row r="756" ht="14.25" customHeight="1">
      <c r="A756" s="7">
        <v>64.0</v>
      </c>
      <c r="B756" s="7" t="s">
        <v>11</v>
      </c>
      <c r="C756" s="7">
        <v>37.905</v>
      </c>
      <c r="D756" s="7">
        <v>0.0</v>
      </c>
      <c r="E756" s="7" t="s">
        <v>12</v>
      </c>
      <c r="F756" s="7" t="s">
        <v>14</v>
      </c>
      <c r="G756" s="7">
        <v>14210.53595</v>
      </c>
      <c r="H756" s="3"/>
    </row>
    <row r="757" ht="14.25" customHeight="1">
      <c r="A757" s="7">
        <v>58.0</v>
      </c>
      <c r="B757" s="7" t="s">
        <v>8</v>
      </c>
      <c r="C757" s="7">
        <v>22.77</v>
      </c>
      <c r="D757" s="7">
        <v>0.0</v>
      </c>
      <c r="E757" s="7" t="s">
        <v>12</v>
      </c>
      <c r="F757" s="7" t="s">
        <v>13</v>
      </c>
      <c r="G757" s="7">
        <v>11833.7823</v>
      </c>
      <c r="H757" s="3"/>
    </row>
    <row r="758" ht="14.25" customHeight="1">
      <c r="A758" s="7">
        <v>24.0</v>
      </c>
      <c r="B758" s="7" t="s">
        <v>11</v>
      </c>
      <c r="C758" s="7">
        <v>33.63</v>
      </c>
      <c r="D758" s="7">
        <v>4.0</v>
      </c>
      <c r="E758" s="7" t="s">
        <v>12</v>
      </c>
      <c r="F758" s="7" t="s">
        <v>15</v>
      </c>
      <c r="G758" s="7">
        <v>17128.42608</v>
      </c>
      <c r="H758" s="3"/>
    </row>
    <row r="759" ht="14.25" customHeight="1">
      <c r="A759" s="7">
        <v>31.0</v>
      </c>
      <c r="B759" s="7" t="s">
        <v>11</v>
      </c>
      <c r="C759" s="7">
        <v>27.645</v>
      </c>
      <c r="D759" s="7">
        <v>2.0</v>
      </c>
      <c r="E759" s="7" t="s">
        <v>12</v>
      </c>
      <c r="F759" s="7" t="s">
        <v>15</v>
      </c>
      <c r="G759" s="7">
        <v>5031.26955</v>
      </c>
      <c r="H759" s="3"/>
    </row>
    <row r="760" ht="14.25" customHeight="1">
      <c r="A760" s="7">
        <v>39.0</v>
      </c>
      <c r="B760" s="7" t="s">
        <v>8</v>
      </c>
      <c r="C760" s="7">
        <v>22.8</v>
      </c>
      <c r="D760" s="7">
        <v>3.0</v>
      </c>
      <c r="E760" s="7" t="s">
        <v>12</v>
      </c>
      <c r="F760" s="7" t="s">
        <v>15</v>
      </c>
      <c r="G760" s="7">
        <v>7985.815</v>
      </c>
      <c r="H760" s="3"/>
    </row>
    <row r="761" ht="14.25" customHeight="1">
      <c r="A761" s="7">
        <v>47.0</v>
      </c>
      <c r="B761" s="7" t="s">
        <v>8</v>
      </c>
      <c r="C761" s="7">
        <v>27.83</v>
      </c>
      <c r="D761" s="7">
        <v>0.0</v>
      </c>
      <c r="E761" s="7" t="s">
        <v>9</v>
      </c>
      <c r="F761" s="7" t="s">
        <v>13</v>
      </c>
      <c r="G761" s="7">
        <v>23065.4207</v>
      </c>
      <c r="H761" s="3"/>
    </row>
    <row r="762" ht="14.25" customHeight="1">
      <c r="A762" s="7">
        <v>30.0</v>
      </c>
      <c r="B762" s="7" t="s">
        <v>11</v>
      </c>
      <c r="C762" s="7">
        <v>37.43</v>
      </c>
      <c r="D762" s="7">
        <v>3.0</v>
      </c>
      <c r="E762" s="7" t="s">
        <v>12</v>
      </c>
      <c r="F762" s="7" t="s">
        <v>15</v>
      </c>
      <c r="G762" s="7">
        <v>5428.7277</v>
      </c>
      <c r="H762" s="3"/>
    </row>
    <row r="763" ht="14.25" customHeight="1">
      <c r="A763" s="7">
        <v>18.0</v>
      </c>
      <c r="B763" s="7" t="s">
        <v>11</v>
      </c>
      <c r="C763" s="7">
        <v>38.17</v>
      </c>
      <c r="D763" s="7">
        <v>0.0</v>
      </c>
      <c r="E763" s="7" t="s">
        <v>9</v>
      </c>
      <c r="F763" s="7" t="s">
        <v>13</v>
      </c>
      <c r="G763" s="7">
        <v>36307.7983</v>
      </c>
      <c r="H763" s="3"/>
    </row>
    <row r="764" ht="14.25" customHeight="1">
      <c r="A764" s="7">
        <v>22.0</v>
      </c>
      <c r="B764" s="7" t="s">
        <v>8</v>
      </c>
      <c r="C764" s="7">
        <v>34.58</v>
      </c>
      <c r="D764" s="7">
        <v>2.0</v>
      </c>
      <c r="E764" s="7" t="s">
        <v>12</v>
      </c>
      <c r="F764" s="7" t="s">
        <v>15</v>
      </c>
      <c r="G764" s="7">
        <v>3925.7582</v>
      </c>
      <c r="H764" s="3"/>
    </row>
    <row r="765" ht="14.25" customHeight="1">
      <c r="A765" s="7">
        <v>23.0</v>
      </c>
      <c r="B765" s="7" t="s">
        <v>11</v>
      </c>
      <c r="C765" s="7">
        <v>35.2</v>
      </c>
      <c r="D765" s="7">
        <v>1.0</v>
      </c>
      <c r="E765" s="7" t="s">
        <v>12</v>
      </c>
      <c r="F765" s="7" t="s">
        <v>10</v>
      </c>
      <c r="G765" s="7">
        <v>2416.955</v>
      </c>
      <c r="H765" s="3"/>
    </row>
    <row r="766" ht="14.25" customHeight="1">
      <c r="A766" s="7">
        <v>33.0</v>
      </c>
      <c r="B766" s="7" t="s">
        <v>11</v>
      </c>
      <c r="C766" s="7">
        <v>27.1</v>
      </c>
      <c r="D766" s="7">
        <v>1.0</v>
      </c>
      <c r="E766" s="7" t="s">
        <v>9</v>
      </c>
      <c r="F766" s="7" t="s">
        <v>10</v>
      </c>
      <c r="G766" s="7">
        <v>19040.876</v>
      </c>
      <c r="H766" s="3"/>
    </row>
    <row r="767" ht="14.25" customHeight="1">
      <c r="A767" s="7">
        <v>27.0</v>
      </c>
      <c r="B767" s="7" t="s">
        <v>11</v>
      </c>
      <c r="C767" s="7">
        <v>26.03</v>
      </c>
      <c r="D767" s="7">
        <v>0.0</v>
      </c>
      <c r="E767" s="7" t="s">
        <v>12</v>
      </c>
      <c r="F767" s="7" t="s">
        <v>15</v>
      </c>
      <c r="G767" s="7">
        <v>3070.8087</v>
      </c>
      <c r="H767" s="3"/>
    </row>
    <row r="768" ht="14.25" customHeight="1">
      <c r="A768" s="7">
        <v>45.0</v>
      </c>
      <c r="B768" s="7" t="s">
        <v>8</v>
      </c>
      <c r="C768" s="7">
        <v>25.175</v>
      </c>
      <c r="D768" s="7">
        <v>2.0</v>
      </c>
      <c r="E768" s="7" t="s">
        <v>12</v>
      </c>
      <c r="F768" s="7" t="s">
        <v>15</v>
      </c>
      <c r="G768" s="7">
        <v>9095.06825</v>
      </c>
      <c r="H768" s="3"/>
    </row>
    <row r="769" ht="14.25" customHeight="1">
      <c r="A769" s="7">
        <v>57.0</v>
      </c>
      <c r="B769" s="7" t="s">
        <v>8</v>
      </c>
      <c r="C769" s="7">
        <v>31.825</v>
      </c>
      <c r="D769" s="7">
        <v>0.0</v>
      </c>
      <c r="E769" s="7" t="s">
        <v>12</v>
      </c>
      <c r="F769" s="7" t="s">
        <v>14</v>
      </c>
      <c r="G769" s="7">
        <v>11842.62375</v>
      </c>
      <c r="H769" s="3"/>
    </row>
    <row r="770" ht="14.25" customHeight="1">
      <c r="A770" s="7">
        <v>47.0</v>
      </c>
      <c r="B770" s="7" t="s">
        <v>11</v>
      </c>
      <c r="C770" s="7">
        <v>32.3</v>
      </c>
      <c r="D770" s="7">
        <v>1.0</v>
      </c>
      <c r="E770" s="7" t="s">
        <v>12</v>
      </c>
      <c r="F770" s="7" t="s">
        <v>10</v>
      </c>
      <c r="G770" s="7">
        <v>8062.764</v>
      </c>
      <c r="H770" s="3"/>
    </row>
    <row r="771" ht="14.25" customHeight="1">
      <c r="A771" s="7">
        <v>42.0</v>
      </c>
      <c r="B771" s="7" t="s">
        <v>8</v>
      </c>
      <c r="C771" s="7">
        <v>29.0</v>
      </c>
      <c r="D771" s="7">
        <v>1.0</v>
      </c>
      <c r="E771" s="7" t="s">
        <v>12</v>
      </c>
      <c r="F771" s="7" t="s">
        <v>10</v>
      </c>
      <c r="G771" s="7">
        <v>7050.642</v>
      </c>
      <c r="H771" s="3"/>
    </row>
    <row r="772" ht="14.25" customHeight="1">
      <c r="A772" s="7">
        <v>64.0</v>
      </c>
      <c r="B772" s="7" t="s">
        <v>8</v>
      </c>
      <c r="C772" s="7">
        <v>39.7</v>
      </c>
      <c r="D772" s="7">
        <v>0.0</v>
      </c>
      <c r="E772" s="7" t="s">
        <v>12</v>
      </c>
      <c r="F772" s="7" t="s">
        <v>10</v>
      </c>
      <c r="G772" s="7">
        <v>14319.031</v>
      </c>
      <c r="H772" s="3"/>
    </row>
    <row r="773" ht="14.25" customHeight="1">
      <c r="A773" s="7">
        <v>38.0</v>
      </c>
      <c r="B773" s="7" t="s">
        <v>8</v>
      </c>
      <c r="C773" s="7">
        <v>19.475</v>
      </c>
      <c r="D773" s="7">
        <v>2.0</v>
      </c>
      <c r="E773" s="7" t="s">
        <v>12</v>
      </c>
      <c r="F773" s="7" t="s">
        <v>14</v>
      </c>
      <c r="G773" s="7">
        <v>6933.24225</v>
      </c>
      <c r="H773" s="3"/>
    </row>
    <row r="774" ht="14.25" customHeight="1">
      <c r="A774" s="7">
        <v>61.0</v>
      </c>
      <c r="B774" s="7" t="s">
        <v>11</v>
      </c>
      <c r="C774" s="7">
        <v>36.1</v>
      </c>
      <c r="D774" s="7">
        <v>3.0</v>
      </c>
      <c r="E774" s="7" t="s">
        <v>12</v>
      </c>
      <c r="F774" s="7" t="s">
        <v>10</v>
      </c>
      <c r="G774" s="7">
        <v>27941.28758</v>
      </c>
      <c r="H774" s="3"/>
    </row>
    <row r="775" ht="14.25" customHeight="1">
      <c r="A775" s="7">
        <v>53.0</v>
      </c>
      <c r="B775" s="7" t="s">
        <v>8</v>
      </c>
      <c r="C775" s="7">
        <v>26.7</v>
      </c>
      <c r="D775" s="7">
        <v>2.0</v>
      </c>
      <c r="E775" s="7" t="s">
        <v>12</v>
      </c>
      <c r="F775" s="7" t="s">
        <v>10</v>
      </c>
      <c r="G775" s="7">
        <v>11150.78</v>
      </c>
      <c r="H775" s="3"/>
    </row>
    <row r="776" ht="14.25" customHeight="1">
      <c r="A776" s="7">
        <v>44.0</v>
      </c>
      <c r="B776" s="7" t="s">
        <v>8</v>
      </c>
      <c r="C776" s="7">
        <v>36.48</v>
      </c>
      <c r="D776" s="7">
        <v>0.0</v>
      </c>
      <c r="E776" s="7" t="s">
        <v>12</v>
      </c>
      <c r="F776" s="7" t="s">
        <v>15</v>
      </c>
      <c r="G776" s="7">
        <v>12797.20962</v>
      </c>
      <c r="H776" s="3"/>
    </row>
    <row r="777" ht="14.25" customHeight="1">
      <c r="A777" s="7">
        <v>19.0</v>
      </c>
      <c r="B777" s="7" t="s">
        <v>8</v>
      </c>
      <c r="C777" s="7">
        <v>28.88</v>
      </c>
      <c r="D777" s="7">
        <v>0.0</v>
      </c>
      <c r="E777" s="7" t="s">
        <v>9</v>
      </c>
      <c r="F777" s="7" t="s">
        <v>14</v>
      </c>
      <c r="G777" s="7">
        <v>17748.5062</v>
      </c>
      <c r="H777" s="3"/>
    </row>
    <row r="778" ht="14.25" customHeight="1">
      <c r="A778" s="7">
        <v>41.0</v>
      </c>
      <c r="B778" s="7" t="s">
        <v>11</v>
      </c>
      <c r="C778" s="7">
        <v>34.2</v>
      </c>
      <c r="D778" s="7">
        <v>2.0</v>
      </c>
      <c r="E778" s="7" t="s">
        <v>12</v>
      </c>
      <c r="F778" s="7" t="s">
        <v>14</v>
      </c>
      <c r="G778" s="7">
        <v>7261.741</v>
      </c>
      <c r="H778" s="3"/>
    </row>
    <row r="779" ht="14.25" customHeight="1">
      <c r="A779" s="7">
        <v>51.0</v>
      </c>
      <c r="B779" s="7" t="s">
        <v>11</v>
      </c>
      <c r="C779" s="7">
        <v>33.33</v>
      </c>
      <c r="D779" s="7">
        <v>3.0</v>
      </c>
      <c r="E779" s="7" t="s">
        <v>12</v>
      </c>
      <c r="F779" s="7" t="s">
        <v>13</v>
      </c>
      <c r="G779" s="7">
        <v>10560.4917</v>
      </c>
      <c r="H779" s="3"/>
    </row>
    <row r="780" ht="14.25" customHeight="1">
      <c r="A780" s="7">
        <v>40.0</v>
      </c>
      <c r="B780" s="7" t="s">
        <v>11</v>
      </c>
      <c r="C780" s="7">
        <v>32.3</v>
      </c>
      <c r="D780" s="7">
        <v>2.0</v>
      </c>
      <c r="E780" s="7" t="s">
        <v>12</v>
      </c>
      <c r="F780" s="7" t="s">
        <v>14</v>
      </c>
      <c r="G780" s="7">
        <v>6986.697</v>
      </c>
      <c r="H780" s="3"/>
    </row>
    <row r="781" ht="14.25" customHeight="1">
      <c r="A781" s="7">
        <v>45.0</v>
      </c>
      <c r="B781" s="7" t="s">
        <v>11</v>
      </c>
      <c r="C781" s="7">
        <v>39.805</v>
      </c>
      <c r="D781" s="7">
        <v>0.0</v>
      </c>
      <c r="E781" s="7" t="s">
        <v>12</v>
      </c>
      <c r="F781" s="7" t="s">
        <v>15</v>
      </c>
      <c r="G781" s="7">
        <v>7448.40395</v>
      </c>
      <c r="H781" s="3"/>
    </row>
    <row r="782" ht="14.25" customHeight="1">
      <c r="A782" s="7">
        <v>35.0</v>
      </c>
      <c r="B782" s="7" t="s">
        <v>11</v>
      </c>
      <c r="C782" s="7">
        <v>34.32</v>
      </c>
      <c r="D782" s="7">
        <v>3.0</v>
      </c>
      <c r="E782" s="7" t="s">
        <v>12</v>
      </c>
      <c r="F782" s="7" t="s">
        <v>13</v>
      </c>
      <c r="G782" s="7">
        <v>5934.3798</v>
      </c>
      <c r="H782" s="3"/>
    </row>
    <row r="783" ht="14.25" customHeight="1">
      <c r="A783" s="7">
        <v>53.0</v>
      </c>
      <c r="B783" s="7" t="s">
        <v>11</v>
      </c>
      <c r="C783" s="7">
        <v>28.88</v>
      </c>
      <c r="D783" s="7">
        <v>0.0</v>
      </c>
      <c r="E783" s="7" t="s">
        <v>12</v>
      </c>
      <c r="F783" s="7" t="s">
        <v>14</v>
      </c>
      <c r="G783" s="7">
        <v>9869.8102</v>
      </c>
      <c r="H783" s="3"/>
    </row>
    <row r="784" ht="14.25" customHeight="1">
      <c r="A784" s="7">
        <v>30.0</v>
      </c>
      <c r="B784" s="7" t="s">
        <v>11</v>
      </c>
      <c r="C784" s="7">
        <v>24.4</v>
      </c>
      <c r="D784" s="7">
        <v>3.0</v>
      </c>
      <c r="E784" s="7" t="s">
        <v>9</v>
      </c>
      <c r="F784" s="7" t="s">
        <v>10</v>
      </c>
      <c r="G784" s="7">
        <v>18259.216</v>
      </c>
      <c r="H784" s="3"/>
    </row>
    <row r="785" ht="14.25" customHeight="1">
      <c r="A785" s="7">
        <v>18.0</v>
      </c>
      <c r="B785" s="7" t="s">
        <v>11</v>
      </c>
      <c r="C785" s="7">
        <v>41.14</v>
      </c>
      <c r="D785" s="7">
        <v>0.0</v>
      </c>
      <c r="E785" s="7" t="s">
        <v>12</v>
      </c>
      <c r="F785" s="7" t="s">
        <v>13</v>
      </c>
      <c r="G785" s="7">
        <v>1146.7966</v>
      </c>
      <c r="H785" s="3"/>
    </row>
    <row r="786" ht="14.25" customHeight="1">
      <c r="A786" s="7">
        <v>51.0</v>
      </c>
      <c r="B786" s="7" t="s">
        <v>11</v>
      </c>
      <c r="C786" s="7">
        <v>35.97</v>
      </c>
      <c r="D786" s="7">
        <v>1.0</v>
      </c>
      <c r="E786" s="7" t="s">
        <v>12</v>
      </c>
      <c r="F786" s="7" t="s">
        <v>13</v>
      </c>
      <c r="G786" s="7">
        <v>9386.1613</v>
      </c>
      <c r="H786" s="3"/>
    </row>
    <row r="787" ht="14.25" customHeight="1">
      <c r="A787" s="7">
        <v>50.0</v>
      </c>
      <c r="B787" s="7" t="s">
        <v>8</v>
      </c>
      <c r="C787" s="7">
        <v>27.6</v>
      </c>
      <c r="D787" s="7">
        <v>1.0</v>
      </c>
      <c r="E787" s="7" t="s">
        <v>9</v>
      </c>
      <c r="F787" s="7" t="s">
        <v>10</v>
      </c>
      <c r="G787" s="7">
        <v>24520.264</v>
      </c>
      <c r="H787" s="3"/>
    </row>
    <row r="788" ht="14.25" customHeight="1">
      <c r="A788" s="7">
        <v>31.0</v>
      </c>
      <c r="B788" s="7" t="s">
        <v>8</v>
      </c>
      <c r="C788" s="7">
        <v>29.26</v>
      </c>
      <c r="D788" s="7">
        <v>1.0</v>
      </c>
      <c r="E788" s="7" t="s">
        <v>12</v>
      </c>
      <c r="F788" s="7" t="s">
        <v>13</v>
      </c>
      <c r="G788" s="7">
        <v>4350.5144</v>
      </c>
      <c r="H788" s="3"/>
    </row>
    <row r="789" ht="14.25" customHeight="1">
      <c r="A789" s="7">
        <v>35.0</v>
      </c>
      <c r="B789" s="7" t="s">
        <v>8</v>
      </c>
      <c r="C789" s="7">
        <v>27.7</v>
      </c>
      <c r="D789" s="7">
        <v>3.0</v>
      </c>
      <c r="E789" s="7" t="s">
        <v>12</v>
      </c>
      <c r="F789" s="7" t="s">
        <v>10</v>
      </c>
      <c r="G789" s="7">
        <v>6414.178</v>
      </c>
      <c r="H789" s="3"/>
    </row>
    <row r="790" ht="14.25" customHeight="1">
      <c r="A790" s="7">
        <v>60.0</v>
      </c>
      <c r="B790" s="7" t="s">
        <v>11</v>
      </c>
      <c r="C790" s="7">
        <v>36.955</v>
      </c>
      <c r="D790" s="7">
        <v>0.0</v>
      </c>
      <c r="E790" s="7" t="s">
        <v>12</v>
      </c>
      <c r="F790" s="7" t="s">
        <v>15</v>
      </c>
      <c r="G790" s="7">
        <v>12741.16745</v>
      </c>
      <c r="H790" s="3"/>
    </row>
    <row r="791" ht="14.25" customHeight="1">
      <c r="A791" s="7">
        <v>21.0</v>
      </c>
      <c r="B791" s="7" t="s">
        <v>11</v>
      </c>
      <c r="C791" s="7">
        <v>36.86</v>
      </c>
      <c r="D791" s="7">
        <v>0.0</v>
      </c>
      <c r="E791" s="7" t="s">
        <v>12</v>
      </c>
      <c r="F791" s="7" t="s">
        <v>14</v>
      </c>
      <c r="G791" s="7">
        <v>1917.3184</v>
      </c>
      <c r="H791" s="3"/>
    </row>
    <row r="792" ht="14.25" customHeight="1">
      <c r="A792" s="7">
        <v>29.0</v>
      </c>
      <c r="B792" s="7" t="s">
        <v>11</v>
      </c>
      <c r="C792" s="7">
        <v>22.515</v>
      </c>
      <c r="D792" s="7">
        <v>3.0</v>
      </c>
      <c r="E792" s="7" t="s">
        <v>12</v>
      </c>
      <c r="F792" s="7" t="s">
        <v>15</v>
      </c>
      <c r="G792" s="7">
        <v>5209.57885</v>
      </c>
      <c r="H792" s="3"/>
    </row>
    <row r="793" ht="14.25" customHeight="1">
      <c r="A793" s="7">
        <v>62.0</v>
      </c>
      <c r="B793" s="7" t="s">
        <v>8</v>
      </c>
      <c r="C793" s="7">
        <v>29.92</v>
      </c>
      <c r="D793" s="7">
        <v>0.0</v>
      </c>
      <c r="E793" s="7" t="s">
        <v>12</v>
      </c>
      <c r="F793" s="7" t="s">
        <v>13</v>
      </c>
      <c r="G793" s="7">
        <v>13457.9608</v>
      </c>
      <c r="H793" s="3"/>
    </row>
    <row r="794" ht="14.25" customHeight="1">
      <c r="A794" s="7">
        <v>39.0</v>
      </c>
      <c r="B794" s="7" t="s">
        <v>8</v>
      </c>
      <c r="C794" s="7">
        <v>41.8</v>
      </c>
      <c r="D794" s="7">
        <v>0.0</v>
      </c>
      <c r="E794" s="7" t="s">
        <v>12</v>
      </c>
      <c r="F794" s="7" t="s">
        <v>13</v>
      </c>
      <c r="G794" s="7">
        <v>5662.225</v>
      </c>
      <c r="H794" s="3"/>
    </row>
    <row r="795" ht="14.25" customHeight="1">
      <c r="A795" s="7">
        <v>19.0</v>
      </c>
      <c r="B795" s="7" t="s">
        <v>11</v>
      </c>
      <c r="C795" s="7">
        <v>27.6</v>
      </c>
      <c r="D795" s="7">
        <v>0.0</v>
      </c>
      <c r="E795" s="7" t="s">
        <v>12</v>
      </c>
      <c r="F795" s="7" t="s">
        <v>10</v>
      </c>
      <c r="G795" s="7">
        <v>1252.407</v>
      </c>
      <c r="H795" s="3"/>
    </row>
    <row r="796" ht="14.25" customHeight="1">
      <c r="A796" s="7">
        <v>22.0</v>
      </c>
      <c r="B796" s="7" t="s">
        <v>8</v>
      </c>
      <c r="C796" s="7">
        <v>23.18</v>
      </c>
      <c r="D796" s="7">
        <v>0.0</v>
      </c>
      <c r="E796" s="7" t="s">
        <v>12</v>
      </c>
      <c r="F796" s="7" t="s">
        <v>15</v>
      </c>
      <c r="G796" s="7">
        <v>2731.9122</v>
      </c>
      <c r="H796" s="3"/>
    </row>
    <row r="797" ht="14.25" customHeight="1">
      <c r="A797" s="7">
        <v>53.0</v>
      </c>
      <c r="B797" s="7" t="s">
        <v>11</v>
      </c>
      <c r="C797" s="7">
        <v>20.9</v>
      </c>
      <c r="D797" s="7">
        <v>0.0</v>
      </c>
      <c r="E797" s="7" t="s">
        <v>9</v>
      </c>
      <c r="F797" s="7" t="s">
        <v>13</v>
      </c>
      <c r="G797" s="7">
        <v>21195.818</v>
      </c>
      <c r="H797" s="3"/>
    </row>
    <row r="798" ht="14.25" customHeight="1">
      <c r="A798" s="7">
        <v>39.0</v>
      </c>
      <c r="B798" s="7" t="s">
        <v>8</v>
      </c>
      <c r="C798" s="7">
        <v>31.92</v>
      </c>
      <c r="D798" s="7">
        <v>2.0</v>
      </c>
      <c r="E798" s="7" t="s">
        <v>12</v>
      </c>
      <c r="F798" s="7" t="s">
        <v>14</v>
      </c>
      <c r="G798" s="7">
        <v>7209.4918</v>
      </c>
      <c r="H798" s="3"/>
    </row>
    <row r="799" ht="14.25" customHeight="1">
      <c r="A799" s="7">
        <v>27.0</v>
      </c>
      <c r="B799" s="7" t="s">
        <v>11</v>
      </c>
      <c r="C799" s="7">
        <v>28.5</v>
      </c>
      <c r="D799" s="7">
        <v>0.0</v>
      </c>
      <c r="E799" s="7" t="s">
        <v>9</v>
      </c>
      <c r="F799" s="7" t="s">
        <v>14</v>
      </c>
      <c r="G799" s="7">
        <v>18310.742</v>
      </c>
      <c r="H799" s="3"/>
    </row>
    <row r="800" ht="14.25" customHeight="1">
      <c r="A800" s="7">
        <v>30.0</v>
      </c>
      <c r="B800" s="7" t="s">
        <v>11</v>
      </c>
      <c r="C800" s="7">
        <v>44.22</v>
      </c>
      <c r="D800" s="7">
        <v>2.0</v>
      </c>
      <c r="E800" s="7" t="s">
        <v>12</v>
      </c>
      <c r="F800" s="7" t="s">
        <v>13</v>
      </c>
      <c r="G800" s="7">
        <v>4266.1658</v>
      </c>
      <c r="H800" s="3"/>
    </row>
    <row r="801" ht="14.25" customHeight="1">
      <c r="A801" s="7">
        <v>30.0</v>
      </c>
      <c r="B801" s="7" t="s">
        <v>8</v>
      </c>
      <c r="C801" s="7">
        <v>22.895</v>
      </c>
      <c r="D801" s="7">
        <v>1.0</v>
      </c>
      <c r="E801" s="7" t="s">
        <v>12</v>
      </c>
      <c r="F801" s="7" t="s">
        <v>15</v>
      </c>
      <c r="G801" s="7">
        <v>4719.52405</v>
      </c>
      <c r="H801" s="3"/>
    </row>
    <row r="802" ht="14.25" customHeight="1">
      <c r="A802" s="7">
        <v>58.0</v>
      </c>
      <c r="B802" s="7" t="s">
        <v>8</v>
      </c>
      <c r="C802" s="7">
        <v>33.1</v>
      </c>
      <c r="D802" s="7">
        <v>0.0</v>
      </c>
      <c r="E802" s="7" t="s">
        <v>12</v>
      </c>
      <c r="F802" s="7" t="s">
        <v>10</v>
      </c>
      <c r="G802" s="7">
        <v>11848.141</v>
      </c>
      <c r="H802" s="3"/>
    </row>
    <row r="803" ht="14.25" customHeight="1">
      <c r="A803" s="7">
        <v>33.0</v>
      </c>
      <c r="B803" s="7" t="s">
        <v>11</v>
      </c>
      <c r="C803" s="7">
        <v>24.795</v>
      </c>
      <c r="D803" s="7">
        <v>0.0</v>
      </c>
      <c r="E803" s="7" t="s">
        <v>9</v>
      </c>
      <c r="F803" s="7" t="s">
        <v>15</v>
      </c>
      <c r="G803" s="7">
        <v>17904.52705</v>
      </c>
      <c r="H803" s="3"/>
    </row>
    <row r="804" ht="14.25" customHeight="1">
      <c r="A804" s="7">
        <v>42.0</v>
      </c>
      <c r="B804" s="7" t="s">
        <v>8</v>
      </c>
      <c r="C804" s="7">
        <v>26.18</v>
      </c>
      <c r="D804" s="7">
        <v>1.0</v>
      </c>
      <c r="E804" s="7" t="s">
        <v>12</v>
      </c>
      <c r="F804" s="7" t="s">
        <v>13</v>
      </c>
      <c r="G804" s="7">
        <v>7046.7222</v>
      </c>
      <c r="H804" s="3"/>
    </row>
    <row r="805" ht="14.25" customHeight="1">
      <c r="A805" s="7">
        <v>64.0</v>
      </c>
      <c r="B805" s="7" t="s">
        <v>8</v>
      </c>
      <c r="C805" s="7">
        <v>35.97</v>
      </c>
      <c r="D805" s="7">
        <v>0.0</v>
      </c>
      <c r="E805" s="7" t="s">
        <v>12</v>
      </c>
      <c r="F805" s="7" t="s">
        <v>13</v>
      </c>
      <c r="G805" s="7">
        <v>14313.8463</v>
      </c>
      <c r="H805" s="3"/>
    </row>
    <row r="806" ht="14.25" customHeight="1">
      <c r="A806" s="7">
        <v>21.0</v>
      </c>
      <c r="B806" s="7" t="s">
        <v>11</v>
      </c>
      <c r="C806" s="7">
        <v>22.3</v>
      </c>
      <c r="D806" s="7">
        <v>1.0</v>
      </c>
      <c r="E806" s="7" t="s">
        <v>12</v>
      </c>
      <c r="F806" s="7" t="s">
        <v>10</v>
      </c>
      <c r="G806" s="7">
        <v>2103.08</v>
      </c>
      <c r="H806" s="3"/>
    </row>
    <row r="807" ht="14.25" customHeight="1">
      <c r="A807" s="7">
        <v>18.0</v>
      </c>
      <c r="B807" s="7" t="s">
        <v>8</v>
      </c>
      <c r="C807" s="7">
        <v>42.24</v>
      </c>
      <c r="D807" s="7">
        <v>0.0</v>
      </c>
      <c r="E807" s="7" t="s">
        <v>9</v>
      </c>
      <c r="F807" s="7" t="s">
        <v>13</v>
      </c>
      <c r="G807" s="7">
        <v>38792.6856</v>
      </c>
      <c r="H807" s="3"/>
    </row>
    <row r="808" ht="14.25" customHeight="1">
      <c r="A808" s="7">
        <v>23.0</v>
      </c>
      <c r="B808" s="7" t="s">
        <v>11</v>
      </c>
      <c r="C808" s="7">
        <v>26.51</v>
      </c>
      <c r="D808" s="7">
        <v>0.0</v>
      </c>
      <c r="E808" s="7" t="s">
        <v>12</v>
      </c>
      <c r="F808" s="7" t="s">
        <v>13</v>
      </c>
      <c r="G808" s="7">
        <v>1815.8759</v>
      </c>
      <c r="H808" s="3"/>
    </row>
    <row r="809" ht="14.25" customHeight="1">
      <c r="A809" s="7">
        <v>45.0</v>
      </c>
      <c r="B809" s="7" t="s">
        <v>8</v>
      </c>
      <c r="C809" s="7">
        <v>35.815</v>
      </c>
      <c r="D809" s="7">
        <v>0.0</v>
      </c>
      <c r="E809" s="7" t="s">
        <v>12</v>
      </c>
      <c r="F809" s="7" t="s">
        <v>14</v>
      </c>
      <c r="G809" s="7">
        <v>7731.85785</v>
      </c>
      <c r="H809" s="3"/>
    </row>
    <row r="810" ht="14.25" customHeight="1">
      <c r="A810" s="7">
        <v>40.0</v>
      </c>
      <c r="B810" s="7" t="s">
        <v>8</v>
      </c>
      <c r="C810" s="7">
        <v>41.42</v>
      </c>
      <c r="D810" s="7">
        <v>1.0</v>
      </c>
      <c r="E810" s="7" t="s">
        <v>12</v>
      </c>
      <c r="F810" s="7" t="s">
        <v>14</v>
      </c>
      <c r="G810" s="7">
        <v>28476.73499</v>
      </c>
      <c r="H810" s="3"/>
    </row>
    <row r="811" ht="14.25" customHeight="1">
      <c r="A811" s="7">
        <v>19.0</v>
      </c>
      <c r="B811" s="7" t="s">
        <v>8</v>
      </c>
      <c r="C811" s="7">
        <v>36.575</v>
      </c>
      <c r="D811" s="7">
        <v>0.0</v>
      </c>
      <c r="E811" s="7" t="s">
        <v>12</v>
      </c>
      <c r="F811" s="7" t="s">
        <v>14</v>
      </c>
      <c r="G811" s="7">
        <v>2136.88225</v>
      </c>
      <c r="H811" s="3"/>
    </row>
    <row r="812" ht="14.25" customHeight="1">
      <c r="A812" s="7">
        <v>18.0</v>
      </c>
      <c r="B812" s="7" t="s">
        <v>11</v>
      </c>
      <c r="C812" s="7">
        <v>30.14</v>
      </c>
      <c r="D812" s="7">
        <v>0.0</v>
      </c>
      <c r="E812" s="7" t="s">
        <v>12</v>
      </c>
      <c r="F812" s="7" t="s">
        <v>13</v>
      </c>
      <c r="G812" s="7">
        <v>1131.5066</v>
      </c>
      <c r="H812" s="3"/>
    </row>
    <row r="813" ht="14.25" customHeight="1">
      <c r="A813" s="7">
        <v>25.0</v>
      </c>
      <c r="B813" s="7" t="s">
        <v>11</v>
      </c>
      <c r="C813" s="7">
        <v>25.84</v>
      </c>
      <c r="D813" s="7">
        <v>1.0</v>
      </c>
      <c r="E813" s="7" t="s">
        <v>12</v>
      </c>
      <c r="F813" s="7" t="s">
        <v>15</v>
      </c>
      <c r="G813" s="7">
        <v>3309.7926</v>
      </c>
      <c r="H813" s="3"/>
    </row>
    <row r="814" ht="14.25" customHeight="1">
      <c r="A814" s="7">
        <v>46.0</v>
      </c>
      <c r="B814" s="7" t="s">
        <v>8</v>
      </c>
      <c r="C814" s="7">
        <v>30.8</v>
      </c>
      <c r="D814" s="7">
        <v>3.0</v>
      </c>
      <c r="E814" s="7" t="s">
        <v>12</v>
      </c>
      <c r="F814" s="7" t="s">
        <v>10</v>
      </c>
      <c r="G814" s="7">
        <v>9414.92</v>
      </c>
      <c r="H814" s="3"/>
    </row>
    <row r="815" ht="14.25" customHeight="1">
      <c r="A815" s="7">
        <v>33.0</v>
      </c>
      <c r="B815" s="7" t="s">
        <v>8</v>
      </c>
      <c r="C815" s="7">
        <v>42.94</v>
      </c>
      <c r="D815" s="7">
        <v>3.0</v>
      </c>
      <c r="E815" s="7" t="s">
        <v>12</v>
      </c>
      <c r="F815" s="7" t="s">
        <v>14</v>
      </c>
      <c r="G815" s="7">
        <v>6360.9936</v>
      </c>
      <c r="H815" s="3"/>
    </row>
    <row r="816" ht="14.25" customHeight="1">
      <c r="A816" s="7">
        <v>54.0</v>
      </c>
      <c r="B816" s="7" t="s">
        <v>11</v>
      </c>
      <c r="C816" s="7">
        <v>21.01</v>
      </c>
      <c r="D816" s="7">
        <v>2.0</v>
      </c>
      <c r="E816" s="7" t="s">
        <v>12</v>
      </c>
      <c r="F816" s="7" t="s">
        <v>13</v>
      </c>
      <c r="G816" s="7">
        <v>11013.7119</v>
      </c>
      <c r="H816" s="3"/>
    </row>
    <row r="817" ht="14.25" customHeight="1">
      <c r="A817" s="7">
        <v>28.0</v>
      </c>
      <c r="B817" s="7" t="s">
        <v>11</v>
      </c>
      <c r="C817" s="7">
        <v>22.515</v>
      </c>
      <c r="D817" s="7">
        <v>2.0</v>
      </c>
      <c r="E817" s="7" t="s">
        <v>12</v>
      </c>
      <c r="F817" s="7" t="s">
        <v>15</v>
      </c>
      <c r="G817" s="7">
        <v>4428.88785</v>
      </c>
      <c r="H817" s="3"/>
    </row>
    <row r="818" ht="14.25" customHeight="1">
      <c r="A818" s="7">
        <v>36.0</v>
      </c>
      <c r="B818" s="7" t="s">
        <v>11</v>
      </c>
      <c r="C818" s="7">
        <v>34.43</v>
      </c>
      <c r="D818" s="7">
        <v>2.0</v>
      </c>
      <c r="E818" s="7" t="s">
        <v>12</v>
      </c>
      <c r="F818" s="7" t="s">
        <v>13</v>
      </c>
      <c r="G818" s="7">
        <v>5584.3057</v>
      </c>
      <c r="H818" s="3"/>
    </row>
    <row r="819" ht="14.25" customHeight="1">
      <c r="A819" s="7">
        <v>20.0</v>
      </c>
      <c r="B819" s="7" t="s">
        <v>8</v>
      </c>
      <c r="C819" s="7">
        <v>31.46</v>
      </c>
      <c r="D819" s="7">
        <v>0.0</v>
      </c>
      <c r="E819" s="7" t="s">
        <v>12</v>
      </c>
      <c r="F819" s="7" t="s">
        <v>13</v>
      </c>
      <c r="G819" s="7">
        <v>1877.9294</v>
      </c>
      <c r="H819" s="3"/>
    </row>
    <row r="820" ht="14.25" customHeight="1">
      <c r="A820" s="7">
        <v>24.0</v>
      </c>
      <c r="B820" s="7" t="s">
        <v>8</v>
      </c>
      <c r="C820" s="7">
        <v>24.225</v>
      </c>
      <c r="D820" s="7">
        <v>0.0</v>
      </c>
      <c r="E820" s="7" t="s">
        <v>12</v>
      </c>
      <c r="F820" s="7" t="s">
        <v>14</v>
      </c>
      <c r="G820" s="7">
        <v>2842.76075</v>
      </c>
      <c r="H820" s="3"/>
    </row>
    <row r="821" ht="14.25" customHeight="1">
      <c r="A821" s="7">
        <v>23.0</v>
      </c>
      <c r="B821" s="7" t="s">
        <v>11</v>
      </c>
      <c r="C821" s="7">
        <v>37.1</v>
      </c>
      <c r="D821" s="7">
        <v>3.0</v>
      </c>
      <c r="E821" s="7" t="s">
        <v>12</v>
      </c>
      <c r="F821" s="7" t="s">
        <v>10</v>
      </c>
      <c r="G821" s="7">
        <v>3597.596</v>
      </c>
      <c r="H821" s="3"/>
    </row>
    <row r="822" ht="14.25" customHeight="1">
      <c r="A822" s="7">
        <v>47.0</v>
      </c>
      <c r="B822" s="7" t="s">
        <v>8</v>
      </c>
      <c r="C822" s="7">
        <v>26.125</v>
      </c>
      <c r="D822" s="7">
        <v>1.0</v>
      </c>
      <c r="E822" s="7" t="s">
        <v>9</v>
      </c>
      <c r="F822" s="7" t="s">
        <v>15</v>
      </c>
      <c r="G822" s="7">
        <v>23401.30575</v>
      </c>
      <c r="H822" s="3"/>
    </row>
    <row r="823" ht="14.25" customHeight="1">
      <c r="A823" s="7">
        <v>33.0</v>
      </c>
      <c r="B823" s="7" t="s">
        <v>8</v>
      </c>
      <c r="C823" s="7">
        <v>35.53</v>
      </c>
      <c r="D823" s="7">
        <v>0.0</v>
      </c>
      <c r="E823" s="7" t="s">
        <v>9</v>
      </c>
      <c r="F823" s="7" t="s">
        <v>14</v>
      </c>
      <c r="G823" s="7">
        <v>55135.40209</v>
      </c>
      <c r="H823" s="3"/>
    </row>
    <row r="824" ht="14.25" customHeight="1">
      <c r="A824" s="7">
        <v>45.0</v>
      </c>
      <c r="B824" s="7" t="s">
        <v>11</v>
      </c>
      <c r="C824" s="7">
        <v>33.7</v>
      </c>
      <c r="D824" s="7">
        <v>1.0</v>
      </c>
      <c r="E824" s="7" t="s">
        <v>12</v>
      </c>
      <c r="F824" s="7" t="s">
        <v>10</v>
      </c>
      <c r="G824" s="7">
        <v>7445.918</v>
      </c>
      <c r="H824" s="3"/>
    </row>
    <row r="825" ht="14.25" customHeight="1">
      <c r="A825" s="7">
        <v>26.0</v>
      </c>
      <c r="B825" s="7" t="s">
        <v>11</v>
      </c>
      <c r="C825" s="7">
        <v>17.67</v>
      </c>
      <c r="D825" s="7">
        <v>0.0</v>
      </c>
      <c r="E825" s="7" t="s">
        <v>12</v>
      </c>
      <c r="F825" s="7" t="s">
        <v>14</v>
      </c>
      <c r="G825" s="7">
        <v>2680.9493</v>
      </c>
      <c r="H825" s="3"/>
    </row>
    <row r="826" ht="14.25" customHeight="1">
      <c r="A826" s="7">
        <v>18.0</v>
      </c>
      <c r="B826" s="7" t="s">
        <v>8</v>
      </c>
      <c r="C826" s="7">
        <v>31.13</v>
      </c>
      <c r="D826" s="7">
        <v>0.0</v>
      </c>
      <c r="E826" s="7" t="s">
        <v>12</v>
      </c>
      <c r="F826" s="7" t="s">
        <v>13</v>
      </c>
      <c r="G826" s="7">
        <v>1621.8827</v>
      </c>
      <c r="H826" s="3"/>
    </row>
    <row r="827" ht="14.25" customHeight="1">
      <c r="A827" s="7">
        <v>44.0</v>
      </c>
      <c r="B827" s="7" t="s">
        <v>8</v>
      </c>
      <c r="C827" s="7">
        <v>29.81</v>
      </c>
      <c r="D827" s="7">
        <v>2.0</v>
      </c>
      <c r="E827" s="7" t="s">
        <v>12</v>
      </c>
      <c r="F827" s="7" t="s">
        <v>13</v>
      </c>
      <c r="G827" s="7">
        <v>8219.2039</v>
      </c>
      <c r="H827" s="3"/>
    </row>
    <row r="828" ht="14.25" customHeight="1">
      <c r="A828" s="7">
        <v>60.0</v>
      </c>
      <c r="B828" s="7" t="s">
        <v>11</v>
      </c>
      <c r="C828" s="7">
        <v>24.32</v>
      </c>
      <c r="D828" s="7">
        <v>0.0</v>
      </c>
      <c r="E828" s="7" t="s">
        <v>12</v>
      </c>
      <c r="F828" s="7" t="s">
        <v>14</v>
      </c>
      <c r="G828" s="7">
        <v>12523.6048</v>
      </c>
      <c r="H828" s="3"/>
    </row>
    <row r="829" ht="14.25" customHeight="1">
      <c r="A829" s="7">
        <v>64.0</v>
      </c>
      <c r="B829" s="7" t="s">
        <v>8</v>
      </c>
      <c r="C829" s="7">
        <v>31.825</v>
      </c>
      <c r="D829" s="7">
        <v>2.0</v>
      </c>
      <c r="E829" s="7" t="s">
        <v>12</v>
      </c>
      <c r="F829" s="7" t="s">
        <v>15</v>
      </c>
      <c r="G829" s="7">
        <v>16069.08475</v>
      </c>
      <c r="H829" s="3"/>
    </row>
    <row r="830" ht="14.25" customHeight="1">
      <c r="A830" s="7">
        <v>56.0</v>
      </c>
      <c r="B830" s="7" t="s">
        <v>11</v>
      </c>
      <c r="C830" s="7">
        <v>31.79</v>
      </c>
      <c r="D830" s="7">
        <v>2.0</v>
      </c>
      <c r="E830" s="7" t="s">
        <v>9</v>
      </c>
      <c r="F830" s="7" t="s">
        <v>13</v>
      </c>
      <c r="G830" s="7">
        <v>43813.8661</v>
      </c>
      <c r="H830" s="3"/>
    </row>
    <row r="831" ht="14.25" customHeight="1">
      <c r="A831" s="7">
        <v>36.0</v>
      </c>
      <c r="B831" s="7" t="s">
        <v>11</v>
      </c>
      <c r="C831" s="7">
        <v>28.025</v>
      </c>
      <c r="D831" s="7">
        <v>1.0</v>
      </c>
      <c r="E831" s="7" t="s">
        <v>9</v>
      </c>
      <c r="F831" s="7" t="s">
        <v>15</v>
      </c>
      <c r="G831" s="7">
        <v>20773.62775</v>
      </c>
      <c r="H831" s="3"/>
    </row>
    <row r="832" ht="14.25" customHeight="1">
      <c r="A832" s="7">
        <v>41.0</v>
      </c>
      <c r="B832" s="7" t="s">
        <v>11</v>
      </c>
      <c r="C832" s="7">
        <v>30.78</v>
      </c>
      <c r="D832" s="7">
        <v>3.0</v>
      </c>
      <c r="E832" s="7" t="s">
        <v>9</v>
      </c>
      <c r="F832" s="7" t="s">
        <v>15</v>
      </c>
      <c r="G832" s="7">
        <v>39597.4072</v>
      </c>
      <c r="H832" s="3"/>
    </row>
    <row r="833" ht="14.25" customHeight="1">
      <c r="A833" s="7">
        <v>39.0</v>
      </c>
      <c r="B833" s="7" t="s">
        <v>11</v>
      </c>
      <c r="C833" s="7">
        <v>21.85</v>
      </c>
      <c r="D833" s="7">
        <v>1.0</v>
      </c>
      <c r="E833" s="7" t="s">
        <v>12</v>
      </c>
      <c r="F833" s="7" t="s">
        <v>14</v>
      </c>
      <c r="G833" s="7">
        <v>6117.4945</v>
      </c>
      <c r="H833" s="3"/>
    </row>
    <row r="834" ht="14.25" customHeight="1">
      <c r="A834" s="7">
        <v>63.0</v>
      </c>
      <c r="B834" s="7" t="s">
        <v>11</v>
      </c>
      <c r="C834" s="7">
        <v>33.1</v>
      </c>
      <c r="D834" s="7">
        <v>0.0</v>
      </c>
      <c r="E834" s="7" t="s">
        <v>12</v>
      </c>
      <c r="F834" s="7" t="s">
        <v>10</v>
      </c>
      <c r="G834" s="7">
        <v>13393.756</v>
      </c>
      <c r="H834" s="3"/>
    </row>
    <row r="835" ht="14.25" customHeight="1">
      <c r="A835" s="7">
        <v>36.0</v>
      </c>
      <c r="B835" s="7" t="s">
        <v>8</v>
      </c>
      <c r="C835" s="7">
        <v>25.84</v>
      </c>
      <c r="D835" s="7">
        <v>0.0</v>
      </c>
      <c r="E835" s="7" t="s">
        <v>12</v>
      </c>
      <c r="F835" s="7" t="s">
        <v>14</v>
      </c>
      <c r="G835" s="7">
        <v>5266.3656</v>
      </c>
      <c r="H835" s="3"/>
    </row>
    <row r="836" ht="14.25" customHeight="1">
      <c r="A836" s="7">
        <v>28.0</v>
      </c>
      <c r="B836" s="7" t="s">
        <v>8</v>
      </c>
      <c r="C836" s="7">
        <v>23.845</v>
      </c>
      <c r="D836" s="7">
        <v>2.0</v>
      </c>
      <c r="E836" s="7" t="s">
        <v>12</v>
      </c>
      <c r="F836" s="7" t="s">
        <v>14</v>
      </c>
      <c r="G836" s="7">
        <v>4719.73655</v>
      </c>
      <c r="H836" s="3"/>
    </row>
    <row r="837" ht="14.25" customHeight="1">
      <c r="A837" s="7">
        <v>58.0</v>
      </c>
      <c r="B837" s="7" t="s">
        <v>11</v>
      </c>
      <c r="C837" s="7">
        <v>34.39</v>
      </c>
      <c r="D837" s="7">
        <v>0.0</v>
      </c>
      <c r="E837" s="7" t="s">
        <v>12</v>
      </c>
      <c r="F837" s="7" t="s">
        <v>14</v>
      </c>
      <c r="G837" s="7">
        <v>11743.9341</v>
      </c>
      <c r="H837" s="3"/>
    </row>
    <row r="838" ht="14.25" customHeight="1">
      <c r="A838" s="7">
        <v>36.0</v>
      </c>
      <c r="B838" s="7" t="s">
        <v>11</v>
      </c>
      <c r="C838" s="7">
        <v>33.82</v>
      </c>
      <c r="D838" s="7">
        <v>1.0</v>
      </c>
      <c r="E838" s="7" t="s">
        <v>12</v>
      </c>
      <c r="F838" s="7" t="s">
        <v>14</v>
      </c>
      <c r="G838" s="7">
        <v>5377.4578</v>
      </c>
      <c r="H838" s="3"/>
    </row>
    <row r="839" ht="14.25" customHeight="1">
      <c r="A839" s="7">
        <v>42.0</v>
      </c>
      <c r="B839" s="7" t="s">
        <v>11</v>
      </c>
      <c r="C839" s="7">
        <v>35.97</v>
      </c>
      <c r="D839" s="7">
        <v>2.0</v>
      </c>
      <c r="E839" s="7" t="s">
        <v>12</v>
      </c>
      <c r="F839" s="7" t="s">
        <v>13</v>
      </c>
      <c r="G839" s="7">
        <v>7160.3303</v>
      </c>
      <c r="H839" s="3"/>
    </row>
    <row r="840" ht="14.25" customHeight="1">
      <c r="A840" s="7">
        <v>36.0</v>
      </c>
      <c r="B840" s="7" t="s">
        <v>11</v>
      </c>
      <c r="C840" s="7">
        <v>31.5</v>
      </c>
      <c r="D840" s="7">
        <v>0.0</v>
      </c>
      <c r="E840" s="7" t="s">
        <v>12</v>
      </c>
      <c r="F840" s="7" t="s">
        <v>10</v>
      </c>
      <c r="G840" s="7">
        <v>4402.233</v>
      </c>
      <c r="H840" s="3"/>
    </row>
    <row r="841" ht="14.25" customHeight="1">
      <c r="A841" s="7">
        <v>56.0</v>
      </c>
      <c r="B841" s="7" t="s">
        <v>8</v>
      </c>
      <c r="C841" s="7">
        <v>28.31</v>
      </c>
      <c r="D841" s="7">
        <v>0.0</v>
      </c>
      <c r="E841" s="7" t="s">
        <v>12</v>
      </c>
      <c r="F841" s="7" t="s">
        <v>15</v>
      </c>
      <c r="G841" s="7">
        <v>11657.7189</v>
      </c>
      <c r="H841" s="3"/>
    </row>
    <row r="842" ht="14.25" customHeight="1">
      <c r="A842" s="7">
        <v>35.0</v>
      </c>
      <c r="B842" s="7" t="s">
        <v>8</v>
      </c>
      <c r="C842" s="7">
        <v>23.465</v>
      </c>
      <c r="D842" s="7">
        <v>2.0</v>
      </c>
      <c r="E842" s="7" t="s">
        <v>12</v>
      </c>
      <c r="F842" s="7" t="s">
        <v>15</v>
      </c>
      <c r="G842" s="7">
        <v>6402.29135</v>
      </c>
      <c r="H842" s="3"/>
    </row>
    <row r="843" ht="14.25" customHeight="1">
      <c r="A843" s="7">
        <v>59.0</v>
      </c>
      <c r="B843" s="7" t="s">
        <v>8</v>
      </c>
      <c r="C843" s="7">
        <v>31.35</v>
      </c>
      <c r="D843" s="7">
        <v>0.0</v>
      </c>
      <c r="E843" s="7" t="s">
        <v>12</v>
      </c>
      <c r="F843" s="7" t="s">
        <v>14</v>
      </c>
      <c r="G843" s="7">
        <v>12622.1795</v>
      </c>
      <c r="H843" s="3"/>
    </row>
    <row r="844" ht="14.25" customHeight="1">
      <c r="A844" s="7">
        <v>21.0</v>
      </c>
      <c r="B844" s="7" t="s">
        <v>11</v>
      </c>
      <c r="C844" s="7">
        <v>31.1</v>
      </c>
      <c r="D844" s="7">
        <v>0.0</v>
      </c>
      <c r="E844" s="7" t="s">
        <v>12</v>
      </c>
      <c r="F844" s="7" t="s">
        <v>10</v>
      </c>
      <c r="G844" s="7">
        <v>1526.312</v>
      </c>
      <c r="H844" s="3"/>
    </row>
    <row r="845" ht="14.25" customHeight="1">
      <c r="A845" s="7">
        <v>59.0</v>
      </c>
      <c r="B845" s="7" t="s">
        <v>11</v>
      </c>
      <c r="C845" s="7">
        <v>24.7</v>
      </c>
      <c r="D845" s="7">
        <v>0.0</v>
      </c>
      <c r="E845" s="7" t="s">
        <v>12</v>
      </c>
      <c r="F845" s="7" t="s">
        <v>15</v>
      </c>
      <c r="G845" s="7">
        <v>12323.936</v>
      </c>
      <c r="H845" s="3"/>
    </row>
    <row r="846" ht="14.25" customHeight="1">
      <c r="A846" s="7">
        <v>23.0</v>
      </c>
      <c r="B846" s="7" t="s">
        <v>8</v>
      </c>
      <c r="C846" s="7">
        <v>32.78</v>
      </c>
      <c r="D846" s="7">
        <v>2.0</v>
      </c>
      <c r="E846" s="7" t="s">
        <v>9</v>
      </c>
      <c r="F846" s="7" t="s">
        <v>13</v>
      </c>
      <c r="G846" s="7">
        <v>36021.0112</v>
      </c>
      <c r="H846" s="3"/>
    </row>
    <row r="847" ht="14.25" customHeight="1">
      <c r="A847" s="7">
        <v>57.0</v>
      </c>
      <c r="B847" s="7" t="s">
        <v>8</v>
      </c>
      <c r="C847" s="7">
        <v>29.81</v>
      </c>
      <c r="D847" s="7">
        <v>0.0</v>
      </c>
      <c r="E847" s="7" t="s">
        <v>9</v>
      </c>
      <c r="F847" s="7" t="s">
        <v>13</v>
      </c>
      <c r="G847" s="7">
        <v>27533.9129</v>
      </c>
      <c r="H847" s="3"/>
    </row>
    <row r="848" ht="14.25" customHeight="1">
      <c r="A848" s="7">
        <v>53.0</v>
      </c>
      <c r="B848" s="7" t="s">
        <v>11</v>
      </c>
      <c r="C848" s="7">
        <v>30.495</v>
      </c>
      <c r="D848" s="7">
        <v>0.0</v>
      </c>
      <c r="E848" s="7" t="s">
        <v>12</v>
      </c>
      <c r="F848" s="7" t="s">
        <v>15</v>
      </c>
      <c r="G848" s="7">
        <v>10072.05505</v>
      </c>
      <c r="H848" s="3"/>
    </row>
    <row r="849" ht="14.25" customHeight="1">
      <c r="A849" s="7">
        <v>60.0</v>
      </c>
      <c r="B849" s="7" t="s">
        <v>8</v>
      </c>
      <c r="C849" s="7">
        <v>32.45</v>
      </c>
      <c r="D849" s="7">
        <v>0.0</v>
      </c>
      <c r="E849" s="7" t="s">
        <v>9</v>
      </c>
      <c r="F849" s="7" t="s">
        <v>13</v>
      </c>
      <c r="G849" s="7">
        <v>45008.9555</v>
      </c>
      <c r="H849" s="3"/>
    </row>
    <row r="850" ht="14.25" customHeight="1">
      <c r="A850" s="7">
        <v>51.0</v>
      </c>
      <c r="B850" s="7" t="s">
        <v>8</v>
      </c>
      <c r="C850" s="7">
        <v>34.2</v>
      </c>
      <c r="D850" s="7">
        <v>1.0</v>
      </c>
      <c r="E850" s="7" t="s">
        <v>12</v>
      </c>
      <c r="F850" s="7" t="s">
        <v>10</v>
      </c>
      <c r="G850" s="7">
        <v>9872.701</v>
      </c>
      <c r="H850" s="3"/>
    </row>
    <row r="851" ht="14.25" customHeight="1">
      <c r="A851" s="7">
        <v>23.0</v>
      </c>
      <c r="B851" s="7" t="s">
        <v>11</v>
      </c>
      <c r="C851" s="7">
        <v>50.38</v>
      </c>
      <c r="D851" s="7">
        <v>1.0</v>
      </c>
      <c r="E851" s="7" t="s">
        <v>12</v>
      </c>
      <c r="F851" s="7" t="s">
        <v>13</v>
      </c>
      <c r="G851" s="7">
        <v>2438.0552</v>
      </c>
      <c r="H851" s="3"/>
    </row>
    <row r="852" ht="14.25" customHeight="1">
      <c r="A852" s="7">
        <v>27.0</v>
      </c>
      <c r="B852" s="7" t="s">
        <v>8</v>
      </c>
      <c r="C852" s="7">
        <v>24.1</v>
      </c>
      <c r="D852" s="7">
        <v>0.0</v>
      </c>
      <c r="E852" s="7" t="s">
        <v>12</v>
      </c>
      <c r="F852" s="7" t="s">
        <v>10</v>
      </c>
      <c r="G852" s="7">
        <v>2974.126</v>
      </c>
      <c r="H852" s="3"/>
    </row>
    <row r="853" ht="14.25" customHeight="1">
      <c r="A853" s="7">
        <v>55.0</v>
      </c>
      <c r="B853" s="7" t="s">
        <v>11</v>
      </c>
      <c r="C853" s="7">
        <v>32.775</v>
      </c>
      <c r="D853" s="7">
        <v>0.0</v>
      </c>
      <c r="E853" s="7" t="s">
        <v>12</v>
      </c>
      <c r="F853" s="7" t="s">
        <v>14</v>
      </c>
      <c r="G853" s="7">
        <v>10601.63225</v>
      </c>
      <c r="H853" s="3"/>
    </row>
    <row r="854" ht="14.25" customHeight="1">
      <c r="A854" s="7">
        <v>37.0</v>
      </c>
      <c r="B854" s="7" t="s">
        <v>8</v>
      </c>
      <c r="C854" s="7">
        <v>30.78</v>
      </c>
      <c r="D854" s="7">
        <v>0.0</v>
      </c>
      <c r="E854" s="7" t="s">
        <v>9</v>
      </c>
      <c r="F854" s="7" t="s">
        <v>15</v>
      </c>
      <c r="G854" s="7">
        <v>37270.1512</v>
      </c>
      <c r="H854" s="3"/>
    </row>
    <row r="855" ht="14.25" customHeight="1">
      <c r="A855" s="7">
        <v>61.0</v>
      </c>
      <c r="B855" s="7" t="s">
        <v>11</v>
      </c>
      <c r="C855" s="7">
        <v>32.3</v>
      </c>
      <c r="D855" s="7">
        <v>2.0</v>
      </c>
      <c r="E855" s="7" t="s">
        <v>12</v>
      </c>
      <c r="F855" s="7" t="s">
        <v>14</v>
      </c>
      <c r="G855" s="7">
        <v>14119.62</v>
      </c>
      <c r="H855" s="3"/>
    </row>
    <row r="856" ht="14.25" customHeight="1">
      <c r="A856" s="7">
        <v>46.0</v>
      </c>
      <c r="B856" s="7" t="s">
        <v>8</v>
      </c>
      <c r="C856" s="7">
        <v>35.53</v>
      </c>
      <c r="D856" s="7">
        <v>0.0</v>
      </c>
      <c r="E856" s="7" t="s">
        <v>9</v>
      </c>
      <c r="F856" s="7" t="s">
        <v>15</v>
      </c>
      <c r="G856" s="7">
        <v>42111.6647</v>
      </c>
      <c r="H856" s="3"/>
    </row>
    <row r="857" ht="14.25" customHeight="1">
      <c r="A857" s="7">
        <v>53.0</v>
      </c>
      <c r="B857" s="7" t="s">
        <v>8</v>
      </c>
      <c r="C857" s="7">
        <v>23.75</v>
      </c>
      <c r="D857" s="7">
        <v>2.0</v>
      </c>
      <c r="E857" s="7" t="s">
        <v>12</v>
      </c>
      <c r="F857" s="7" t="s">
        <v>15</v>
      </c>
      <c r="G857" s="7">
        <v>11729.6795</v>
      </c>
      <c r="H857" s="3"/>
    </row>
    <row r="858" ht="14.25" customHeight="1">
      <c r="A858" s="7">
        <v>49.0</v>
      </c>
      <c r="B858" s="7" t="s">
        <v>8</v>
      </c>
      <c r="C858" s="7">
        <v>23.845</v>
      </c>
      <c r="D858" s="7">
        <v>3.0</v>
      </c>
      <c r="E858" s="7" t="s">
        <v>9</v>
      </c>
      <c r="F858" s="7" t="s">
        <v>15</v>
      </c>
      <c r="G858" s="7">
        <v>24106.91255</v>
      </c>
      <c r="H858" s="3"/>
    </row>
    <row r="859" ht="14.25" customHeight="1">
      <c r="A859" s="7">
        <v>20.0</v>
      </c>
      <c r="B859" s="7" t="s">
        <v>8</v>
      </c>
      <c r="C859" s="7">
        <v>29.6</v>
      </c>
      <c r="D859" s="7">
        <v>0.0</v>
      </c>
      <c r="E859" s="7" t="s">
        <v>12</v>
      </c>
      <c r="F859" s="7" t="s">
        <v>10</v>
      </c>
      <c r="G859" s="7">
        <v>1875.344</v>
      </c>
      <c r="H859" s="3"/>
    </row>
    <row r="860" ht="14.25" customHeight="1">
      <c r="A860" s="7">
        <v>48.0</v>
      </c>
      <c r="B860" s="7" t="s">
        <v>8</v>
      </c>
      <c r="C860" s="7">
        <v>33.11</v>
      </c>
      <c r="D860" s="7">
        <v>0.0</v>
      </c>
      <c r="E860" s="7" t="s">
        <v>9</v>
      </c>
      <c r="F860" s="7" t="s">
        <v>13</v>
      </c>
      <c r="G860" s="7">
        <v>40974.1649</v>
      </c>
      <c r="H860" s="3"/>
    </row>
    <row r="861" ht="14.25" customHeight="1">
      <c r="A861" s="7">
        <v>25.0</v>
      </c>
      <c r="B861" s="7" t="s">
        <v>11</v>
      </c>
      <c r="C861" s="7">
        <v>24.13</v>
      </c>
      <c r="D861" s="7">
        <v>0.0</v>
      </c>
      <c r="E861" s="7" t="s">
        <v>9</v>
      </c>
      <c r="F861" s="7" t="s">
        <v>14</v>
      </c>
      <c r="G861" s="7">
        <v>15817.9857</v>
      </c>
      <c r="H861" s="3"/>
    </row>
    <row r="862" ht="14.25" customHeight="1">
      <c r="A862" s="7">
        <v>25.0</v>
      </c>
      <c r="B862" s="7" t="s">
        <v>8</v>
      </c>
      <c r="C862" s="7">
        <v>32.23</v>
      </c>
      <c r="D862" s="7">
        <v>1.0</v>
      </c>
      <c r="E862" s="7" t="s">
        <v>12</v>
      </c>
      <c r="F862" s="7" t="s">
        <v>13</v>
      </c>
      <c r="G862" s="7">
        <v>18218.16139</v>
      </c>
      <c r="H862" s="3"/>
    </row>
    <row r="863" ht="14.25" customHeight="1">
      <c r="A863" s="7">
        <v>57.0</v>
      </c>
      <c r="B863" s="7" t="s">
        <v>11</v>
      </c>
      <c r="C863" s="7">
        <v>28.1</v>
      </c>
      <c r="D863" s="7">
        <v>0.0</v>
      </c>
      <c r="E863" s="7" t="s">
        <v>12</v>
      </c>
      <c r="F863" s="7" t="s">
        <v>10</v>
      </c>
      <c r="G863" s="7">
        <v>10965.446</v>
      </c>
      <c r="H863" s="3"/>
    </row>
    <row r="864" ht="14.25" customHeight="1">
      <c r="A864" s="7">
        <v>37.0</v>
      </c>
      <c r="B864" s="7" t="s">
        <v>8</v>
      </c>
      <c r="C864" s="7">
        <v>47.6</v>
      </c>
      <c r="D864" s="7">
        <v>2.0</v>
      </c>
      <c r="E864" s="7" t="s">
        <v>9</v>
      </c>
      <c r="F864" s="7" t="s">
        <v>10</v>
      </c>
      <c r="G864" s="7">
        <v>46113.511</v>
      </c>
      <c r="H864" s="3"/>
    </row>
    <row r="865" ht="14.25" customHeight="1">
      <c r="A865" s="7">
        <v>38.0</v>
      </c>
      <c r="B865" s="7" t="s">
        <v>8</v>
      </c>
      <c r="C865" s="7">
        <v>28.0</v>
      </c>
      <c r="D865" s="7">
        <v>3.0</v>
      </c>
      <c r="E865" s="7" t="s">
        <v>12</v>
      </c>
      <c r="F865" s="7" t="s">
        <v>10</v>
      </c>
      <c r="G865" s="7">
        <v>7151.092</v>
      </c>
      <c r="H865" s="3"/>
    </row>
    <row r="866" ht="14.25" customHeight="1">
      <c r="A866" s="7">
        <v>55.0</v>
      </c>
      <c r="B866" s="7" t="s">
        <v>8</v>
      </c>
      <c r="C866" s="7">
        <v>33.535</v>
      </c>
      <c r="D866" s="7">
        <v>2.0</v>
      </c>
      <c r="E866" s="7" t="s">
        <v>12</v>
      </c>
      <c r="F866" s="7" t="s">
        <v>14</v>
      </c>
      <c r="G866" s="7">
        <v>12269.68865</v>
      </c>
      <c r="H866" s="3"/>
    </row>
    <row r="867" ht="14.25" customHeight="1">
      <c r="A867" s="7">
        <v>36.0</v>
      </c>
      <c r="B867" s="7" t="s">
        <v>8</v>
      </c>
      <c r="C867" s="7">
        <v>19.855</v>
      </c>
      <c r="D867" s="7">
        <v>0.0</v>
      </c>
      <c r="E867" s="7" t="s">
        <v>12</v>
      </c>
      <c r="F867" s="7" t="s">
        <v>15</v>
      </c>
      <c r="G867" s="7">
        <v>5458.04645</v>
      </c>
      <c r="H867" s="3"/>
    </row>
    <row r="868" ht="14.25" customHeight="1">
      <c r="A868" s="7">
        <v>51.0</v>
      </c>
      <c r="B868" s="7" t="s">
        <v>11</v>
      </c>
      <c r="C868" s="7">
        <v>25.4</v>
      </c>
      <c r="D868" s="7">
        <v>0.0</v>
      </c>
      <c r="E868" s="7" t="s">
        <v>12</v>
      </c>
      <c r="F868" s="7" t="s">
        <v>10</v>
      </c>
      <c r="G868" s="7">
        <v>8782.469</v>
      </c>
      <c r="H868" s="3"/>
    </row>
    <row r="869" ht="14.25" customHeight="1">
      <c r="A869" s="7">
        <v>40.0</v>
      </c>
      <c r="B869" s="7" t="s">
        <v>11</v>
      </c>
      <c r="C869" s="7">
        <v>29.9</v>
      </c>
      <c r="D869" s="7">
        <v>2.0</v>
      </c>
      <c r="E869" s="7" t="s">
        <v>12</v>
      </c>
      <c r="F869" s="7" t="s">
        <v>10</v>
      </c>
      <c r="G869" s="7">
        <v>6600.361</v>
      </c>
      <c r="H869" s="3"/>
    </row>
    <row r="870" ht="14.25" customHeight="1">
      <c r="A870" s="7">
        <v>18.0</v>
      </c>
      <c r="B870" s="7" t="s">
        <v>11</v>
      </c>
      <c r="C870" s="7">
        <v>37.29</v>
      </c>
      <c r="D870" s="7">
        <v>0.0</v>
      </c>
      <c r="E870" s="7" t="s">
        <v>12</v>
      </c>
      <c r="F870" s="7" t="s">
        <v>13</v>
      </c>
      <c r="G870" s="7">
        <v>1141.4451</v>
      </c>
      <c r="H870" s="3"/>
    </row>
    <row r="871" ht="14.25" customHeight="1">
      <c r="A871" s="7">
        <v>57.0</v>
      </c>
      <c r="B871" s="7" t="s">
        <v>11</v>
      </c>
      <c r="C871" s="7">
        <v>43.7</v>
      </c>
      <c r="D871" s="7">
        <v>1.0</v>
      </c>
      <c r="E871" s="7" t="s">
        <v>12</v>
      </c>
      <c r="F871" s="7" t="s">
        <v>10</v>
      </c>
      <c r="G871" s="7">
        <v>11576.13</v>
      </c>
      <c r="H871" s="3"/>
    </row>
    <row r="872" ht="14.25" customHeight="1">
      <c r="A872" s="7">
        <v>61.0</v>
      </c>
      <c r="B872" s="7" t="s">
        <v>11</v>
      </c>
      <c r="C872" s="7">
        <v>23.655</v>
      </c>
      <c r="D872" s="7">
        <v>0.0</v>
      </c>
      <c r="E872" s="7" t="s">
        <v>12</v>
      </c>
      <c r="F872" s="7" t="s">
        <v>15</v>
      </c>
      <c r="G872" s="7">
        <v>13129.60345</v>
      </c>
      <c r="H872" s="3"/>
    </row>
    <row r="873" ht="14.25" customHeight="1">
      <c r="A873" s="7">
        <v>25.0</v>
      </c>
      <c r="B873" s="7" t="s">
        <v>8</v>
      </c>
      <c r="C873" s="7">
        <v>24.3</v>
      </c>
      <c r="D873" s="7">
        <v>3.0</v>
      </c>
      <c r="E873" s="7" t="s">
        <v>12</v>
      </c>
      <c r="F873" s="7" t="s">
        <v>10</v>
      </c>
      <c r="G873" s="7">
        <v>4391.652</v>
      </c>
      <c r="H873" s="3"/>
    </row>
    <row r="874" ht="14.25" customHeight="1">
      <c r="A874" s="7">
        <v>50.0</v>
      </c>
      <c r="B874" s="7" t="s">
        <v>11</v>
      </c>
      <c r="C874" s="7">
        <v>36.2</v>
      </c>
      <c r="D874" s="7">
        <v>0.0</v>
      </c>
      <c r="E874" s="7" t="s">
        <v>12</v>
      </c>
      <c r="F874" s="7" t="s">
        <v>10</v>
      </c>
      <c r="G874" s="7">
        <v>8457.818</v>
      </c>
      <c r="H874" s="3"/>
    </row>
    <row r="875" ht="14.25" customHeight="1">
      <c r="A875" s="7">
        <v>26.0</v>
      </c>
      <c r="B875" s="7" t="s">
        <v>8</v>
      </c>
      <c r="C875" s="7">
        <v>29.48</v>
      </c>
      <c r="D875" s="7">
        <v>1.0</v>
      </c>
      <c r="E875" s="7" t="s">
        <v>12</v>
      </c>
      <c r="F875" s="7" t="s">
        <v>13</v>
      </c>
      <c r="G875" s="7">
        <v>3392.3652</v>
      </c>
      <c r="H875" s="3"/>
    </row>
    <row r="876" ht="14.25" customHeight="1">
      <c r="A876" s="7">
        <v>42.0</v>
      </c>
      <c r="B876" s="7" t="s">
        <v>11</v>
      </c>
      <c r="C876" s="7">
        <v>24.86</v>
      </c>
      <c r="D876" s="7">
        <v>0.0</v>
      </c>
      <c r="E876" s="7" t="s">
        <v>12</v>
      </c>
      <c r="F876" s="7" t="s">
        <v>13</v>
      </c>
      <c r="G876" s="7">
        <v>5966.8874</v>
      </c>
      <c r="H876" s="3"/>
    </row>
    <row r="877" ht="14.25" customHeight="1">
      <c r="A877" s="7">
        <v>43.0</v>
      </c>
      <c r="B877" s="7" t="s">
        <v>11</v>
      </c>
      <c r="C877" s="7">
        <v>30.1</v>
      </c>
      <c r="D877" s="7">
        <v>1.0</v>
      </c>
      <c r="E877" s="7" t="s">
        <v>12</v>
      </c>
      <c r="F877" s="7" t="s">
        <v>10</v>
      </c>
      <c r="G877" s="7">
        <v>6849.026</v>
      </c>
      <c r="H877" s="3"/>
    </row>
    <row r="878" ht="14.25" customHeight="1">
      <c r="A878" s="7">
        <v>44.0</v>
      </c>
      <c r="B878" s="7" t="s">
        <v>11</v>
      </c>
      <c r="C878" s="7">
        <v>21.85</v>
      </c>
      <c r="D878" s="7">
        <v>3.0</v>
      </c>
      <c r="E878" s="7" t="s">
        <v>12</v>
      </c>
      <c r="F878" s="7" t="s">
        <v>15</v>
      </c>
      <c r="G878" s="7">
        <v>8891.1395</v>
      </c>
      <c r="H878" s="3"/>
    </row>
    <row r="879" ht="14.25" customHeight="1">
      <c r="A879" s="7">
        <v>23.0</v>
      </c>
      <c r="B879" s="7" t="s">
        <v>8</v>
      </c>
      <c r="C879" s="7">
        <v>28.12</v>
      </c>
      <c r="D879" s="7">
        <v>0.0</v>
      </c>
      <c r="E879" s="7" t="s">
        <v>12</v>
      </c>
      <c r="F879" s="7" t="s">
        <v>14</v>
      </c>
      <c r="G879" s="7">
        <v>2690.1138</v>
      </c>
      <c r="H879" s="3"/>
    </row>
    <row r="880" ht="14.25" customHeight="1">
      <c r="A880" s="7">
        <v>49.0</v>
      </c>
      <c r="B880" s="7" t="s">
        <v>8</v>
      </c>
      <c r="C880" s="7">
        <v>27.1</v>
      </c>
      <c r="D880" s="7">
        <v>1.0</v>
      </c>
      <c r="E880" s="7" t="s">
        <v>12</v>
      </c>
      <c r="F880" s="7" t="s">
        <v>10</v>
      </c>
      <c r="G880" s="7">
        <v>26140.3603</v>
      </c>
      <c r="H880" s="3"/>
    </row>
    <row r="881" ht="14.25" customHeight="1">
      <c r="A881" s="7">
        <v>33.0</v>
      </c>
      <c r="B881" s="7" t="s">
        <v>11</v>
      </c>
      <c r="C881" s="7">
        <v>33.44</v>
      </c>
      <c r="D881" s="7">
        <v>5.0</v>
      </c>
      <c r="E881" s="7" t="s">
        <v>12</v>
      </c>
      <c r="F881" s="7" t="s">
        <v>13</v>
      </c>
      <c r="G881" s="7">
        <v>6653.7886</v>
      </c>
      <c r="H881" s="3"/>
    </row>
    <row r="882" ht="14.25" customHeight="1">
      <c r="A882" s="7">
        <v>41.0</v>
      </c>
      <c r="B882" s="7" t="s">
        <v>11</v>
      </c>
      <c r="C882" s="7">
        <v>28.8</v>
      </c>
      <c r="D882" s="7">
        <v>1.0</v>
      </c>
      <c r="E882" s="7" t="s">
        <v>12</v>
      </c>
      <c r="F882" s="7" t="s">
        <v>10</v>
      </c>
      <c r="G882" s="7">
        <v>6282.235</v>
      </c>
      <c r="H882" s="3"/>
    </row>
    <row r="883" ht="14.25" customHeight="1">
      <c r="A883" s="7">
        <v>37.0</v>
      </c>
      <c r="B883" s="7" t="s">
        <v>8</v>
      </c>
      <c r="C883" s="7">
        <v>29.5</v>
      </c>
      <c r="D883" s="7">
        <v>2.0</v>
      </c>
      <c r="E883" s="7" t="s">
        <v>12</v>
      </c>
      <c r="F883" s="7" t="s">
        <v>10</v>
      </c>
      <c r="G883" s="7">
        <v>6311.952</v>
      </c>
      <c r="H883" s="3"/>
    </row>
    <row r="884" ht="14.25" customHeight="1">
      <c r="A884" s="7">
        <v>22.0</v>
      </c>
      <c r="B884" s="7" t="s">
        <v>11</v>
      </c>
      <c r="C884" s="7">
        <v>34.8</v>
      </c>
      <c r="D884" s="7">
        <v>3.0</v>
      </c>
      <c r="E884" s="7" t="s">
        <v>12</v>
      </c>
      <c r="F884" s="7" t="s">
        <v>10</v>
      </c>
      <c r="G884" s="7">
        <v>3443.064</v>
      </c>
      <c r="H884" s="3"/>
    </row>
    <row r="885" ht="14.25" customHeight="1">
      <c r="A885" s="7">
        <v>23.0</v>
      </c>
      <c r="B885" s="7" t="s">
        <v>11</v>
      </c>
      <c r="C885" s="7">
        <v>27.36</v>
      </c>
      <c r="D885" s="7">
        <v>1.0</v>
      </c>
      <c r="E885" s="7" t="s">
        <v>12</v>
      </c>
      <c r="F885" s="7" t="s">
        <v>14</v>
      </c>
      <c r="G885" s="7">
        <v>2789.0574</v>
      </c>
      <c r="H885" s="3"/>
    </row>
    <row r="886" ht="14.25" customHeight="1">
      <c r="A886" s="7">
        <v>21.0</v>
      </c>
      <c r="B886" s="7" t="s">
        <v>8</v>
      </c>
      <c r="C886" s="7">
        <v>22.135</v>
      </c>
      <c r="D886" s="7">
        <v>0.0</v>
      </c>
      <c r="E886" s="7" t="s">
        <v>12</v>
      </c>
      <c r="F886" s="7" t="s">
        <v>15</v>
      </c>
      <c r="G886" s="7">
        <v>2585.85065</v>
      </c>
      <c r="H886" s="3"/>
    </row>
    <row r="887" ht="14.25" customHeight="1">
      <c r="A887" s="7">
        <v>51.0</v>
      </c>
      <c r="B887" s="7" t="s">
        <v>8</v>
      </c>
      <c r="C887" s="7">
        <v>37.05</v>
      </c>
      <c r="D887" s="7">
        <v>3.0</v>
      </c>
      <c r="E887" s="7" t="s">
        <v>9</v>
      </c>
      <c r="F887" s="7" t="s">
        <v>15</v>
      </c>
      <c r="G887" s="7">
        <v>46255.1125</v>
      </c>
      <c r="H887" s="3"/>
    </row>
    <row r="888" ht="14.25" customHeight="1">
      <c r="A888" s="7">
        <v>25.0</v>
      </c>
      <c r="B888" s="7" t="s">
        <v>11</v>
      </c>
      <c r="C888" s="7">
        <v>26.695</v>
      </c>
      <c r="D888" s="7">
        <v>4.0</v>
      </c>
      <c r="E888" s="7" t="s">
        <v>12</v>
      </c>
      <c r="F888" s="7" t="s">
        <v>14</v>
      </c>
      <c r="G888" s="7">
        <v>4877.98105</v>
      </c>
      <c r="H888" s="3"/>
    </row>
    <row r="889" ht="14.25" customHeight="1">
      <c r="A889" s="7">
        <v>32.0</v>
      </c>
      <c r="B889" s="7" t="s">
        <v>11</v>
      </c>
      <c r="C889" s="7">
        <v>28.93</v>
      </c>
      <c r="D889" s="7">
        <v>1.0</v>
      </c>
      <c r="E889" s="7" t="s">
        <v>9</v>
      </c>
      <c r="F889" s="7" t="s">
        <v>13</v>
      </c>
      <c r="G889" s="7">
        <v>19719.6947</v>
      </c>
      <c r="H889" s="3"/>
    </row>
    <row r="890" ht="14.25" customHeight="1">
      <c r="A890" s="7">
        <v>57.0</v>
      </c>
      <c r="B890" s="7" t="s">
        <v>11</v>
      </c>
      <c r="C890" s="7">
        <v>28.975</v>
      </c>
      <c r="D890" s="7">
        <v>0.0</v>
      </c>
      <c r="E890" s="7" t="s">
        <v>9</v>
      </c>
      <c r="F890" s="7" t="s">
        <v>15</v>
      </c>
      <c r="G890" s="7">
        <v>27218.43725</v>
      </c>
      <c r="H890" s="3"/>
    </row>
    <row r="891" ht="14.25" customHeight="1">
      <c r="A891" s="7">
        <v>36.0</v>
      </c>
      <c r="B891" s="7" t="s">
        <v>8</v>
      </c>
      <c r="C891" s="7">
        <v>30.02</v>
      </c>
      <c r="D891" s="7">
        <v>0.0</v>
      </c>
      <c r="E891" s="7" t="s">
        <v>12</v>
      </c>
      <c r="F891" s="7" t="s">
        <v>14</v>
      </c>
      <c r="G891" s="7">
        <v>5272.1758</v>
      </c>
      <c r="H891" s="3"/>
    </row>
    <row r="892" ht="14.25" customHeight="1">
      <c r="A892" s="7">
        <v>22.0</v>
      </c>
      <c r="B892" s="7" t="s">
        <v>11</v>
      </c>
      <c r="C892" s="7">
        <v>39.5</v>
      </c>
      <c r="D892" s="7">
        <v>0.0</v>
      </c>
      <c r="E892" s="7" t="s">
        <v>12</v>
      </c>
      <c r="F892" s="7" t="s">
        <v>10</v>
      </c>
      <c r="G892" s="7">
        <v>1682.597</v>
      </c>
      <c r="H892" s="3"/>
    </row>
    <row r="893" ht="14.25" customHeight="1">
      <c r="A893" s="7">
        <v>57.0</v>
      </c>
      <c r="B893" s="7" t="s">
        <v>11</v>
      </c>
      <c r="C893" s="7">
        <v>33.63</v>
      </c>
      <c r="D893" s="7">
        <v>1.0</v>
      </c>
      <c r="E893" s="7" t="s">
        <v>12</v>
      </c>
      <c r="F893" s="7" t="s">
        <v>14</v>
      </c>
      <c r="G893" s="7">
        <v>11945.1327</v>
      </c>
      <c r="H893" s="3"/>
    </row>
    <row r="894" ht="14.25" customHeight="1">
      <c r="A894" s="7">
        <v>64.0</v>
      </c>
      <c r="B894" s="7" t="s">
        <v>8</v>
      </c>
      <c r="C894" s="7">
        <v>26.885</v>
      </c>
      <c r="D894" s="7">
        <v>0.0</v>
      </c>
      <c r="E894" s="7" t="s">
        <v>9</v>
      </c>
      <c r="F894" s="7" t="s">
        <v>14</v>
      </c>
      <c r="G894" s="7">
        <v>29330.98315</v>
      </c>
      <c r="H894" s="3"/>
    </row>
    <row r="895" ht="14.25" customHeight="1">
      <c r="A895" s="7">
        <v>36.0</v>
      </c>
      <c r="B895" s="7" t="s">
        <v>8</v>
      </c>
      <c r="C895" s="7">
        <v>29.04</v>
      </c>
      <c r="D895" s="7">
        <v>4.0</v>
      </c>
      <c r="E895" s="7" t="s">
        <v>12</v>
      </c>
      <c r="F895" s="7" t="s">
        <v>13</v>
      </c>
      <c r="G895" s="7">
        <v>7243.8136</v>
      </c>
      <c r="H895" s="3"/>
    </row>
    <row r="896" ht="14.25" customHeight="1">
      <c r="A896" s="7">
        <v>54.0</v>
      </c>
      <c r="B896" s="7" t="s">
        <v>11</v>
      </c>
      <c r="C896" s="7">
        <v>24.035</v>
      </c>
      <c r="D896" s="7">
        <v>0.0</v>
      </c>
      <c r="E896" s="7" t="s">
        <v>12</v>
      </c>
      <c r="F896" s="7" t="s">
        <v>15</v>
      </c>
      <c r="G896" s="7">
        <v>10422.91665</v>
      </c>
      <c r="H896" s="3"/>
    </row>
    <row r="897" ht="14.25" customHeight="1">
      <c r="A897" s="7">
        <v>47.0</v>
      </c>
      <c r="B897" s="7" t="s">
        <v>11</v>
      </c>
      <c r="C897" s="7">
        <v>38.94</v>
      </c>
      <c r="D897" s="7">
        <v>2.0</v>
      </c>
      <c r="E897" s="7" t="s">
        <v>9</v>
      </c>
      <c r="F897" s="7" t="s">
        <v>13</v>
      </c>
      <c r="G897" s="7">
        <v>44202.6536</v>
      </c>
      <c r="H897" s="3"/>
    </row>
    <row r="898" ht="14.25" customHeight="1">
      <c r="A898" s="7">
        <v>62.0</v>
      </c>
      <c r="B898" s="7" t="s">
        <v>11</v>
      </c>
      <c r="C898" s="7">
        <v>32.11</v>
      </c>
      <c r="D898" s="7">
        <v>0.0</v>
      </c>
      <c r="E898" s="7" t="s">
        <v>12</v>
      </c>
      <c r="F898" s="7" t="s">
        <v>15</v>
      </c>
      <c r="G898" s="7">
        <v>13555.0049</v>
      </c>
      <c r="H898" s="3"/>
    </row>
    <row r="899" ht="14.25" customHeight="1">
      <c r="A899" s="7">
        <v>61.0</v>
      </c>
      <c r="B899" s="7" t="s">
        <v>8</v>
      </c>
      <c r="C899" s="7">
        <v>44.0</v>
      </c>
      <c r="D899" s="7">
        <v>0.0</v>
      </c>
      <c r="E899" s="7" t="s">
        <v>12</v>
      </c>
      <c r="F899" s="7" t="s">
        <v>10</v>
      </c>
      <c r="G899" s="7">
        <v>13063.883</v>
      </c>
      <c r="H899" s="3"/>
    </row>
    <row r="900" ht="14.25" customHeight="1">
      <c r="A900" s="7">
        <v>43.0</v>
      </c>
      <c r="B900" s="7" t="s">
        <v>8</v>
      </c>
      <c r="C900" s="7">
        <v>20.045</v>
      </c>
      <c r="D900" s="7">
        <v>2.0</v>
      </c>
      <c r="E900" s="7" t="s">
        <v>9</v>
      </c>
      <c r="F900" s="7" t="s">
        <v>15</v>
      </c>
      <c r="G900" s="7">
        <v>19798.05455</v>
      </c>
      <c r="H900" s="3"/>
    </row>
    <row r="901" ht="14.25" customHeight="1">
      <c r="A901" s="7">
        <v>19.0</v>
      </c>
      <c r="B901" s="7" t="s">
        <v>11</v>
      </c>
      <c r="C901" s="7">
        <v>25.555</v>
      </c>
      <c r="D901" s="7">
        <v>1.0</v>
      </c>
      <c r="E901" s="7" t="s">
        <v>12</v>
      </c>
      <c r="F901" s="7" t="s">
        <v>14</v>
      </c>
      <c r="G901" s="7">
        <v>2221.56445</v>
      </c>
      <c r="H901" s="3"/>
    </row>
    <row r="902" ht="14.25" customHeight="1">
      <c r="A902" s="7">
        <v>18.0</v>
      </c>
      <c r="B902" s="7" t="s">
        <v>8</v>
      </c>
      <c r="C902" s="7">
        <v>40.26</v>
      </c>
      <c r="D902" s="7">
        <v>0.0</v>
      </c>
      <c r="E902" s="7" t="s">
        <v>12</v>
      </c>
      <c r="F902" s="7" t="s">
        <v>13</v>
      </c>
      <c r="G902" s="7">
        <v>1634.5734</v>
      </c>
      <c r="H902" s="3"/>
    </row>
    <row r="903" ht="14.25" customHeight="1">
      <c r="A903" s="7">
        <v>19.0</v>
      </c>
      <c r="B903" s="7" t="s">
        <v>8</v>
      </c>
      <c r="C903" s="7">
        <v>22.515</v>
      </c>
      <c r="D903" s="7">
        <v>0.0</v>
      </c>
      <c r="E903" s="7" t="s">
        <v>12</v>
      </c>
      <c r="F903" s="7" t="s">
        <v>14</v>
      </c>
      <c r="G903" s="7">
        <v>2117.33885</v>
      </c>
      <c r="H903" s="3"/>
    </row>
    <row r="904" ht="14.25" customHeight="1">
      <c r="A904" s="7">
        <v>49.0</v>
      </c>
      <c r="B904" s="7" t="s">
        <v>11</v>
      </c>
      <c r="C904" s="7">
        <v>22.515</v>
      </c>
      <c r="D904" s="7">
        <v>0.0</v>
      </c>
      <c r="E904" s="7" t="s">
        <v>12</v>
      </c>
      <c r="F904" s="7" t="s">
        <v>15</v>
      </c>
      <c r="G904" s="7">
        <v>8688.85885</v>
      </c>
      <c r="H904" s="3"/>
    </row>
    <row r="905" ht="14.25" customHeight="1">
      <c r="A905" s="7">
        <v>60.0</v>
      </c>
      <c r="B905" s="7" t="s">
        <v>11</v>
      </c>
      <c r="C905" s="7">
        <v>40.92</v>
      </c>
      <c r="D905" s="7">
        <v>0.0</v>
      </c>
      <c r="E905" s="7" t="s">
        <v>9</v>
      </c>
      <c r="F905" s="7" t="s">
        <v>13</v>
      </c>
      <c r="G905" s="7">
        <v>48673.5588</v>
      </c>
      <c r="H905" s="3"/>
    </row>
    <row r="906" ht="14.25" customHeight="1">
      <c r="A906" s="7">
        <v>26.0</v>
      </c>
      <c r="B906" s="7" t="s">
        <v>11</v>
      </c>
      <c r="C906" s="7">
        <v>27.265</v>
      </c>
      <c r="D906" s="7">
        <v>3.0</v>
      </c>
      <c r="E906" s="7" t="s">
        <v>12</v>
      </c>
      <c r="F906" s="7" t="s">
        <v>15</v>
      </c>
      <c r="G906" s="7">
        <v>4661.28635</v>
      </c>
      <c r="H906" s="3"/>
    </row>
    <row r="907" ht="14.25" customHeight="1">
      <c r="A907" s="7">
        <v>49.0</v>
      </c>
      <c r="B907" s="7" t="s">
        <v>11</v>
      </c>
      <c r="C907" s="7">
        <v>36.85</v>
      </c>
      <c r="D907" s="7">
        <v>0.0</v>
      </c>
      <c r="E907" s="7" t="s">
        <v>12</v>
      </c>
      <c r="F907" s="7" t="s">
        <v>13</v>
      </c>
      <c r="G907" s="7">
        <v>8125.7845</v>
      </c>
      <c r="H907" s="3"/>
    </row>
    <row r="908" ht="14.25" customHeight="1">
      <c r="A908" s="7">
        <v>60.0</v>
      </c>
      <c r="B908" s="7" t="s">
        <v>8</v>
      </c>
      <c r="C908" s="7">
        <v>35.1</v>
      </c>
      <c r="D908" s="7">
        <v>0.0</v>
      </c>
      <c r="E908" s="7" t="s">
        <v>12</v>
      </c>
      <c r="F908" s="7" t="s">
        <v>10</v>
      </c>
      <c r="G908" s="7">
        <v>12644.589</v>
      </c>
      <c r="H908" s="3"/>
    </row>
    <row r="909" ht="14.25" customHeight="1">
      <c r="A909" s="7">
        <v>26.0</v>
      </c>
      <c r="B909" s="7" t="s">
        <v>8</v>
      </c>
      <c r="C909" s="7">
        <v>29.355</v>
      </c>
      <c r="D909" s="7">
        <v>2.0</v>
      </c>
      <c r="E909" s="7" t="s">
        <v>12</v>
      </c>
      <c r="F909" s="7" t="s">
        <v>15</v>
      </c>
      <c r="G909" s="7">
        <v>4564.19145</v>
      </c>
      <c r="H909" s="3"/>
    </row>
    <row r="910" ht="14.25" customHeight="1">
      <c r="A910" s="7">
        <v>27.0</v>
      </c>
      <c r="B910" s="7" t="s">
        <v>11</v>
      </c>
      <c r="C910" s="7">
        <v>32.585</v>
      </c>
      <c r="D910" s="7">
        <v>3.0</v>
      </c>
      <c r="E910" s="7" t="s">
        <v>12</v>
      </c>
      <c r="F910" s="7" t="s">
        <v>15</v>
      </c>
      <c r="G910" s="7">
        <v>4846.92015</v>
      </c>
      <c r="H910" s="3"/>
    </row>
    <row r="911" ht="14.25" customHeight="1">
      <c r="A911" s="7">
        <v>44.0</v>
      </c>
      <c r="B911" s="7" t="s">
        <v>8</v>
      </c>
      <c r="C911" s="7">
        <v>32.34</v>
      </c>
      <c r="D911" s="7">
        <v>1.0</v>
      </c>
      <c r="E911" s="7" t="s">
        <v>12</v>
      </c>
      <c r="F911" s="7" t="s">
        <v>13</v>
      </c>
      <c r="G911" s="7">
        <v>7633.7206</v>
      </c>
      <c r="H911" s="3"/>
    </row>
    <row r="912" ht="14.25" customHeight="1">
      <c r="A912" s="7">
        <v>63.0</v>
      </c>
      <c r="B912" s="7" t="s">
        <v>11</v>
      </c>
      <c r="C912" s="7">
        <v>39.8</v>
      </c>
      <c r="D912" s="7">
        <v>3.0</v>
      </c>
      <c r="E912" s="7" t="s">
        <v>12</v>
      </c>
      <c r="F912" s="7" t="s">
        <v>10</v>
      </c>
      <c r="G912" s="7">
        <v>15170.069</v>
      </c>
      <c r="H912" s="3"/>
    </row>
    <row r="913" ht="14.25" customHeight="1">
      <c r="A913" s="7">
        <v>32.0</v>
      </c>
      <c r="B913" s="7" t="s">
        <v>8</v>
      </c>
      <c r="C913" s="7">
        <v>24.6</v>
      </c>
      <c r="D913" s="7">
        <v>0.0</v>
      </c>
      <c r="E913" s="7" t="s">
        <v>9</v>
      </c>
      <c r="F913" s="7" t="s">
        <v>10</v>
      </c>
      <c r="G913" s="7">
        <v>17496.306</v>
      </c>
      <c r="H913" s="3"/>
    </row>
    <row r="914" ht="14.25" customHeight="1">
      <c r="A914" s="7">
        <v>22.0</v>
      </c>
      <c r="B914" s="7" t="s">
        <v>11</v>
      </c>
      <c r="C914" s="7">
        <v>28.31</v>
      </c>
      <c r="D914" s="7">
        <v>1.0</v>
      </c>
      <c r="E914" s="7" t="s">
        <v>12</v>
      </c>
      <c r="F914" s="7" t="s">
        <v>14</v>
      </c>
      <c r="G914" s="7">
        <v>2639.0429</v>
      </c>
      <c r="H914" s="3"/>
    </row>
    <row r="915" ht="14.25" customHeight="1">
      <c r="A915" s="7">
        <v>18.0</v>
      </c>
      <c r="B915" s="7" t="s">
        <v>11</v>
      </c>
      <c r="C915" s="7">
        <v>31.73</v>
      </c>
      <c r="D915" s="7">
        <v>0.0</v>
      </c>
      <c r="E915" s="7" t="s">
        <v>9</v>
      </c>
      <c r="F915" s="7" t="s">
        <v>15</v>
      </c>
      <c r="G915" s="7">
        <v>33732.6867</v>
      </c>
      <c r="H915" s="3"/>
    </row>
    <row r="916" ht="14.25" customHeight="1">
      <c r="A916" s="7">
        <v>59.0</v>
      </c>
      <c r="B916" s="7" t="s">
        <v>8</v>
      </c>
      <c r="C916" s="7">
        <v>26.695</v>
      </c>
      <c r="D916" s="7">
        <v>3.0</v>
      </c>
      <c r="E916" s="7" t="s">
        <v>12</v>
      </c>
      <c r="F916" s="7" t="s">
        <v>14</v>
      </c>
      <c r="G916" s="7">
        <v>14382.70905</v>
      </c>
      <c r="H916" s="3"/>
    </row>
    <row r="917" ht="14.25" customHeight="1">
      <c r="A917" s="7">
        <v>44.0</v>
      </c>
      <c r="B917" s="7" t="s">
        <v>8</v>
      </c>
      <c r="C917" s="7">
        <v>27.5</v>
      </c>
      <c r="D917" s="7">
        <v>1.0</v>
      </c>
      <c r="E917" s="7" t="s">
        <v>12</v>
      </c>
      <c r="F917" s="7" t="s">
        <v>10</v>
      </c>
      <c r="G917" s="7">
        <v>7626.993</v>
      </c>
      <c r="H917" s="3"/>
    </row>
    <row r="918" ht="14.25" customHeight="1">
      <c r="A918" s="7">
        <v>33.0</v>
      </c>
      <c r="B918" s="7" t="s">
        <v>11</v>
      </c>
      <c r="C918" s="7">
        <v>24.605</v>
      </c>
      <c r="D918" s="7">
        <v>2.0</v>
      </c>
      <c r="E918" s="7" t="s">
        <v>12</v>
      </c>
      <c r="F918" s="7" t="s">
        <v>14</v>
      </c>
      <c r="G918" s="7">
        <v>5257.50795</v>
      </c>
      <c r="H918" s="3"/>
    </row>
    <row r="919" ht="14.25" customHeight="1">
      <c r="A919" s="7">
        <v>24.0</v>
      </c>
      <c r="B919" s="7" t="s">
        <v>8</v>
      </c>
      <c r="C919" s="7">
        <v>33.99</v>
      </c>
      <c r="D919" s="7">
        <v>0.0</v>
      </c>
      <c r="E919" s="7" t="s">
        <v>12</v>
      </c>
      <c r="F919" s="7" t="s">
        <v>13</v>
      </c>
      <c r="G919" s="7">
        <v>2473.3341</v>
      </c>
      <c r="H919" s="3"/>
    </row>
    <row r="920" ht="14.25" customHeight="1">
      <c r="A920" s="7">
        <v>43.0</v>
      </c>
      <c r="B920" s="7" t="s">
        <v>8</v>
      </c>
      <c r="C920" s="7">
        <v>26.885</v>
      </c>
      <c r="D920" s="7">
        <v>0.0</v>
      </c>
      <c r="E920" s="7" t="s">
        <v>9</v>
      </c>
      <c r="F920" s="7" t="s">
        <v>14</v>
      </c>
      <c r="G920" s="7">
        <v>21774.32215</v>
      </c>
      <c r="H920" s="3"/>
    </row>
    <row r="921" ht="14.25" customHeight="1">
      <c r="A921" s="7">
        <v>45.0</v>
      </c>
      <c r="B921" s="7" t="s">
        <v>11</v>
      </c>
      <c r="C921" s="7">
        <v>22.895</v>
      </c>
      <c r="D921" s="7">
        <v>0.0</v>
      </c>
      <c r="E921" s="7" t="s">
        <v>9</v>
      </c>
      <c r="F921" s="7" t="s">
        <v>15</v>
      </c>
      <c r="G921" s="7">
        <v>35069.37452</v>
      </c>
      <c r="H921" s="3"/>
    </row>
    <row r="922" ht="14.25" customHeight="1">
      <c r="A922" s="7">
        <v>61.0</v>
      </c>
      <c r="B922" s="7" t="s">
        <v>8</v>
      </c>
      <c r="C922" s="7">
        <v>28.2</v>
      </c>
      <c r="D922" s="7">
        <v>0.0</v>
      </c>
      <c r="E922" s="7" t="s">
        <v>12</v>
      </c>
      <c r="F922" s="7" t="s">
        <v>10</v>
      </c>
      <c r="G922" s="7">
        <v>13041.921</v>
      </c>
      <c r="H922" s="3"/>
    </row>
    <row r="923" ht="14.25" customHeight="1">
      <c r="A923" s="7">
        <v>35.0</v>
      </c>
      <c r="B923" s="7" t="s">
        <v>8</v>
      </c>
      <c r="C923" s="7">
        <v>34.21</v>
      </c>
      <c r="D923" s="7">
        <v>1.0</v>
      </c>
      <c r="E923" s="7" t="s">
        <v>12</v>
      </c>
      <c r="F923" s="7" t="s">
        <v>13</v>
      </c>
      <c r="G923" s="7">
        <v>5245.2269</v>
      </c>
      <c r="H923" s="3"/>
    </row>
    <row r="924" ht="14.25" customHeight="1">
      <c r="A924" s="7">
        <v>62.0</v>
      </c>
      <c r="B924" s="7" t="s">
        <v>8</v>
      </c>
      <c r="C924" s="7">
        <v>25.0</v>
      </c>
      <c r="D924" s="7">
        <v>0.0</v>
      </c>
      <c r="E924" s="7" t="s">
        <v>12</v>
      </c>
      <c r="F924" s="7" t="s">
        <v>10</v>
      </c>
      <c r="G924" s="7">
        <v>13451.122</v>
      </c>
      <c r="H924" s="3"/>
    </row>
    <row r="925" ht="14.25" customHeight="1">
      <c r="A925" s="7">
        <v>62.0</v>
      </c>
      <c r="B925" s="7" t="s">
        <v>8</v>
      </c>
      <c r="C925" s="7">
        <v>33.2</v>
      </c>
      <c r="D925" s="7">
        <v>0.0</v>
      </c>
      <c r="E925" s="7" t="s">
        <v>12</v>
      </c>
      <c r="F925" s="7" t="s">
        <v>10</v>
      </c>
      <c r="G925" s="7">
        <v>13462.52</v>
      </c>
      <c r="H925" s="3"/>
    </row>
    <row r="926" ht="14.25" customHeight="1">
      <c r="A926" s="7">
        <v>38.0</v>
      </c>
      <c r="B926" s="7" t="s">
        <v>11</v>
      </c>
      <c r="C926" s="7">
        <v>31.0</v>
      </c>
      <c r="D926" s="7">
        <v>1.0</v>
      </c>
      <c r="E926" s="7" t="s">
        <v>12</v>
      </c>
      <c r="F926" s="7" t="s">
        <v>10</v>
      </c>
      <c r="G926" s="7">
        <v>5488.262</v>
      </c>
      <c r="H926" s="3"/>
    </row>
    <row r="927" ht="14.25" customHeight="1">
      <c r="A927" s="7">
        <v>34.0</v>
      </c>
      <c r="B927" s="7" t="s">
        <v>11</v>
      </c>
      <c r="C927" s="7">
        <v>35.815</v>
      </c>
      <c r="D927" s="7">
        <v>0.0</v>
      </c>
      <c r="E927" s="7" t="s">
        <v>12</v>
      </c>
      <c r="F927" s="7" t="s">
        <v>14</v>
      </c>
      <c r="G927" s="7">
        <v>4320.41085</v>
      </c>
      <c r="H927" s="3"/>
    </row>
    <row r="928" ht="14.25" customHeight="1">
      <c r="A928" s="7">
        <v>43.0</v>
      </c>
      <c r="B928" s="7" t="s">
        <v>11</v>
      </c>
      <c r="C928" s="7">
        <v>23.2</v>
      </c>
      <c r="D928" s="7">
        <v>0.0</v>
      </c>
      <c r="E928" s="7" t="s">
        <v>12</v>
      </c>
      <c r="F928" s="7" t="s">
        <v>10</v>
      </c>
      <c r="G928" s="7">
        <v>6250.435</v>
      </c>
      <c r="H928" s="3"/>
    </row>
    <row r="929" ht="14.25" customHeight="1">
      <c r="A929" s="7">
        <v>50.0</v>
      </c>
      <c r="B929" s="7" t="s">
        <v>11</v>
      </c>
      <c r="C929" s="7">
        <v>32.11</v>
      </c>
      <c r="D929" s="7">
        <v>2.0</v>
      </c>
      <c r="E929" s="7" t="s">
        <v>12</v>
      </c>
      <c r="F929" s="7" t="s">
        <v>15</v>
      </c>
      <c r="G929" s="7">
        <v>25333.33284</v>
      </c>
      <c r="H929" s="3"/>
    </row>
    <row r="930" ht="14.25" customHeight="1">
      <c r="A930" s="7">
        <v>19.0</v>
      </c>
      <c r="B930" s="7" t="s">
        <v>8</v>
      </c>
      <c r="C930" s="7">
        <v>23.4</v>
      </c>
      <c r="D930" s="7">
        <v>2.0</v>
      </c>
      <c r="E930" s="7" t="s">
        <v>12</v>
      </c>
      <c r="F930" s="7" t="s">
        <v>10</v>
      </c>
      <c r="G930" s="7">
        <v>2913.569</v>
      </c>
      <c r="H930" s="3"/>
    </row>
    <row r="931" ht="14.25" customHeight="1">
      <c r="A931" s="7">
        <v>57.0</v>
      </c>
      <c r="B931" s="7" t="s">
        <v>8</v>
      </c>
      <c r="C931" s="7">
        <v>20.1</v>
      </c>
      <c r="D931" s="7">
        <v>1.0</v>
      </c>
      <c r="E931" s="7" t="s">
        <v>12</v>
      </c>
      <c r="F931" s="7" t="s">
        <v>10</v>
      </c>
      <c r="G931" s="7">
        <v>12032.326</v>
      </c>
      <c r="H931" s="3"/>
    </row>
    <row r="932" ht="14.25" customHeight="1">
      <c r="A932" s="7">
        <v>62.0</v>
      </c>
      <c r="B932" s="7" t="s">
        <v>8</v>
      </c>
      <c r="C932" s="7">
        <v>39.16</v>
      </c>
      <c r="D932" s="7">
        <v>0.0</v>
      </c>
      <c r="E932" s="7" t="s">
        <v>12</v>
      </c>
      <c r="F932" s="7" t="s">
        <v>13</v>
      </c>
      <c r="G932" s="7">
        <v>13470.8044</v>
      </c>
      <c r="H932" s="3"/>
    </row>
    <row r="933" ht="14.25" customHeight="1">
      <c r="A933" s="7">
        <v>41.0</v>
      </c>
      <c r="B933" s="7" t="s">
        <v>11</v>
      </c>
      <c r="C933" s="7">
        <v>34.21</v>
      </c>
      <c r="D933" s="7">
        <v>1.0</v>
      </c>
      <c r="E933" s="7" t="s">
        <v>12</v>
      </c>
      <c r="F933" s="7" t="s">
        <v>13</v>
      </c>
      <c r="G933" s="7">
        <v>6289.7549</v>
      </c>
      <c r="H933" s="3"/>
    </row>
    <row r="934" ht="14.25" customHeight="1">
      <c r="A934" s="7">
        <v>26.0</v>
      </c>
      <c r="B934" s="7" t="s">
        <v>11</v>
      </c>
      <c r="C934" s="7">
        <v>46.53</v>
      </c>
      <c r="D934" s="7">
        <v>1.0</v>
      </c>
      <c r="E934" s="7" t="s">
        <v>12</v>
      </c>
      <c r="F934" s="7" t="s">
        <v>13</v>
      </c>
      <c r="G934" s="7">
        <v>2927.0647</v>
      </c>
      <c r="H934" s="3"/>
    </row>
    <row r="935" ht="14.25" customHeight="1">
      <c r="A935" s="7">
        <v>39.0</v>
      </c>
      <c r="B935" s="7" t="s">
        <v>8</v>
      </c>
      <c r="C935" s="7">
        <v>32.5</v>
      </c>
      <c r="D935" s="7">
        <v>1.0</v>
      </c>
      <c r="E935" s="7" t="s">
        <v>12</v>
      </c>
      <c r="F935" s="7" t="s">
        <v>10</v>
      </c>
      <c r="G935" s="7">
        <v>6238.298</v>
      </c>
      <c r="H935" s="3"/>
    </row>
    <row r="936" ht="14.25" customHeight="1">
      <c r="A936" s="7">
        <v>46.0</v>
      </c>
      <c r="B936" s="7" t="s">
        <v>11</v>
      </c>
      <c r="C936" s="7">
        <v>25.8</v>
      </c>
      <c r="D936" s="7">
        <v>5.0</v>
      </c>
      <c r="E936" s="7" t="s">
        <v>12</v>
      </c>
      <c r="F936" s="7" t="s">
        <v>10</v>
      </c>
      <c r="G936" s="7">
        <v>10096.97</v>
      </c>
      <c r="H936" s="3"/>
    </row>
    <row r="937" ht="14.25" customHeight="1">
      <c r="A937" s="7">
        <v>45.0</v>
      </c>
      <c r="B937" s="7" t="s">
        <v>8</v>
      </c>
      <c r="C937" s="7">
        <v>35.3</v>
      </c>
      <c r="D937" s="7">
        <v>0.0</v>
      </c>
      <c r="E937" s="7" t="s">
        <v>12</v>
      </c>
      <c r="F937" s="7" t="s">
        <v>10</v>
      </c>
      <c r="G937" s="7">
        <v>7348.142</v>
      </c>
      <c r="H937" s="3"/>
    </row>
    <row r="938" ht="14.25" customHeight="1">
      <c r="A938" s="7">
        <v>32.0</v>
      </c>
      <c r="B938" s="7" t="s">
        <v>11</v>
      </c>
      <c r="C938" s="7">
        <v>37.18</v>
      </c>
      <c r="D938" s="7">
        <v>2.0</v>
      </c>
      <c r="E938" s="7" t="s">
        <v>12</v>
      </c>
      <c r="F938" s="7" t="s">
        <v>13</v>
      </c>
      <c r="G938" s="7">
        <v>4673.3922</v>
      </c>
      <c r="H938" s="3"/>
    </row>
    <row r="939" ht="14.25" customHeight="1">
      <c r="A939" s="7">
        <v>59.0</v>
      </c>
      <c r="B939" s="7" t="s">
        <v>8</v>
      </c>
      <c r="C939" s="7">
        <v>27.5</v>
      </c>
      <c r="D939" s="7">
        <v>0.0</v>
      </c>
      <c r="E939" s="7" t="s">
        <v>12</v>
      </c>
      <c r="F939" s="7" t="s">
        <v>10</v>
      </c>
      <c r="G939" s="7">
        <v>12233.828</v>
      </c>
      <c r="H939" s="3"/>
    </row>
    <row r="940" ht="14.25" customHeight="1">
      <c r="A940" s="7">
        <v>44.0</v>
      </c>
      <c r="B940" s="7" t="s">
        <v>11</v>
      </c>
      <c r="C940" s="7">
        <v>29.735</v>
      </c>
      <c r="D940" s="7">
        <v>2.0</v>
      </c>
      <c r="E940" s="7" t="s">
        <v>12</v>
      </c>
      <c r="F940" s="7" t="s">
        <v>15</v>
      </c>
      <c r="G940" s="7">
        <v>32108.66282</v>
      </c>
      <c r="H940" s="3"/>
    </row>
    <row r="941" ht="14.25" customHeight="1">
      <c r="A941" s="7">
        <v>39.0</v>
      </c>
      <c r="B941" s="7" t="s">
        <v>8</v>
      </c>
      <c r="C941" s="7">
        <v>24.225</v>
      </c>
      <c r="D941" s="7">
        <v>5.0</v>
      </c>
      <c r="E941" s="7" t="s">
        <v>12</v>
      </c>
      <c r="F941" s="7" t="s">
        <v>14</v>
      </c>
      <c r="G941" s="7">
        <v>8965.79575</v>
      </c>
      <c r="H941" s="3"/>
    </row>
    <row r="942" ht="14.25" customHeight="1">
      <c r="A942" s="7">
        <v>18.0</v>
      </c>
      <c r="B942" s="7" t="s">
        <v>11</v>
      </c>
      <c r="C942" s="7">
        <v>26.18</v>
      </c>
      <c r="D942" s="7">
        <v>2.0</v>
      </c>
      <c r="E942" s="7" t="s">
        <v>12</v>
      </c>
      <c r="F942" s="7" t="s">
        <v>13</v>
      </c>
      <c r="G942" s="7">
        <v>2304.0022</v>
      </c>
      <c r="H942" s="3"/>
    </row>
    <row r="943" ht="14.25" customHeight="1">
      <c r="A943" s="7">
        <v>53.0</v>
      </c>
      <c r="B943" s="7" t="s">
        <v>11</v>
      </c>
      <c r="C943" s="7">
        <v>29.48</v>
      </c>
      <c r="D943" s="7">
        <v>0.0</v>
      </c>
      <c r="E943" s="7" t="s">
        <v>12</v>
      </c>
      <c r="F943" s="7" t="s">
        <v>13</v>
      </c>
      <c r="G943" s="7">
        <v>9487.6442</v>
      </c>
      <c r="H943" s="3"/>
    </row>
    <row r="944" ht="14.25" customHeight="1">
      <c r="A944" s="7">
        <v>18.0</v>
      </c>
      <c r="B944" s="7" t="s">
        <v>11</v>
      </c>
      <c r="C944" s="7">
        <v>23.21</v>
      </c>
      <c r="D944" s="7">
        <v>0.0</v>
      </c>
      <c r="E944" s="7" t="s">
        <v>12</v>
      </c>
      <c r="F944" s="7" t="s">
        <v>13</v>
      </c>
      <c r="G944" s="7">
        <v>1121.8739</v>
      </c>
      <c r="H944" s="3"/>
    </row>
    <row r="945" ht="14.25" customHeight="1">
      <c r="A945" s="7">
        <v>50.0</v>
      </c>
      <c r="B945" s="7" t="s">
        <v>8</v>
      </c>
      <c r="C945" s="7">
        <v>46.09</v>
      </c>
      <c r="D945" s="7">
        <v>1.0</v>
      </c>
      <c r="E945" s="7" t="s">
        <v>12</v>
      </c>
      <c r="F945" s="7" t="s">
        <v>13</v>
      </c>
      <c r="G945" s="7">
        <v>9549.5651</v>
      </c>
      <c r="H945" s="3"/>
    </row>
    <row r="946" ht="14.25" customHeight="1">
      <c r="A946" s="7">
        <v>18.0</v>
      </c>
      <c r="B946" s="7" t="s">
        <v>8</v>
      </c>
      <c r="C946" s="7">
        <v>40.185</v>
      </c>
      <c r="D946" s="7">
        <v>0.0</v>
      </c>
      <c r="E946" s="7" t="s">
        <v>12</v>
      </c>
      <c r="F946" s="7" t="s">
        <v>15</v>
      </c>
      <c r="G946" s="7">
        <v>2217.46915</v>
      </c>
      <c r="H946" s="3"/>
    </row>
    <row r="947" ht="14.25" customHeight="1">
      <c r="A947" s="7">
        <v>19.0</v>
      </c>
      <c r="B947" s="7" t="s">
        <v>11</v>
      </c>
      <c r="C947" s="7">
        <v>22.61</v>
      </c>
      <c r="D947" s="7">
        <v>0.0</v>
      </c>
      <c r="E947" s="7" t="s">
        <v>12</v>
      </c>
      <c r="F947" s="7" t="s">
        <v>14</v>
      </c>
      <c r="G947" s="7">
        <v>1628.4709</v>
      </c>
      <c r="H947" s="3"/>
    </row>
    <row r="948" ht="14.25" customHeight="1">
      <c r="A948" s="7">
        <v>62.0</v>
      </c>
      <c r="B948" s="7" t="s">
        <v>11</v>
      </c>
      <c r="C948" s="7">
        <v>39.93</v>
      </c>
      <c r="D948" s="7">
        <v>0.0</v>
      </c>
      <c r="E948" s="7" t="s">
        <v>12</v>
      </c>
      <c r="F948" s="7" t="s">
        <v>13</v>
      </c>
      <c r="G948" s="7">
        <v>12982.8747</v>
      </c>
      <c r="H948" s="3"/>
    </row>
    <row r="949" ht="14.25" customHeight="1">
      <c r="A949" s="7">
        <v>56.0</v>
      </c>
      <c r="B949" s="7" t="s">
        <v>8</v>
      </c>
      <c r="C949" s="7">
        <v>35.8</v>
      </c>
      <c r="D949" s="7">
        <v>1.0</v>
      </c>
      <c r="E949" s="7" t="s">
        <v>12</v>
      </c>
      <c r="F949" s="7" t="s">
        <v>10</v>
      </c>
      <c r="G949" s="7">
        <v>11674.13</v>
      </c>
      <c r="H949" s="3"/>
    </row>
    <row r="950" ht="14.25" customHeight="1">
      <c r="A950" s="7">
        <v>42.0</v>
      </c>
      <c r="B950" s="7" t="s">
        <v>11</v>
      </c>
      <c r="C950" s="7">
        <v>35.8</v>
      </c>
      <c r="D950" s="7">
        <v>2.0</v>
      </c>
      <c r="E950" s="7" t="s">
        <v>12</v>
      </c>
      <c r="F950" s="7" t="s">
        <v>10</v>
      </c>
      <c r="G950" s="7">
        <v>7160.094</v>
      </c>
      <c r="H950" s="3"/>
    </row>
    <row r="951" ht="14.25" customHeight="1">
      <c r="A951" s="7">
        <v>37.0</v>
      </c>
      <c r="B951" s="7" t="s">
        <v>11</v>
      </c>
      <c r="C951" s="7">
        <v>34.2</v>
      </c>
      <c r="D951" s="7">
        <v>1.0</v>
      </c>
      <c r="E951" s="7" t="s">
        <v>9</v>
      </c>
      <c r="F951" s="7" t="s">
        <v>15</v>
      </c>
      <c r="G951" s="7">
        <v>39047.285</v>
      </c>
      <c r="H951" s="3"/>
    </row>
    <row r="952" ht="14.25" customHeight="1">
      <c r="A952" s="7">
        <v>42.0</v>
      </c>
      <c r="B952" s="7" t="s">
        <v>11</v>
      </c>
      <c r="C952" s="7">
        <v>31.255</v>
      </c>
      <c r="D952" s="7">
        <v>0.0</v>
      </c>
      <c r="E952" s="7" t="s">
        <v>12</v>
      </c>
      <c r="F952" s="7" t="s">
        <v>14</v>
      </c>
      <c r="G952" s="7">
        <v>6358.77645</v>
      </c>
      <c r="H952" s="3"/>
    </row>
    <row r="953" ht="14.25" customHeight="1">
      <c r="A953" s="7">
        <v>25.0</v>
      </c>
      <c r="B953" s="7" t="s">
        <v>11</v>
      </c>
      <c r="C953" s="7">
        <v>29.7</v>
      </c>
      <c r="D953" s="7">
        <v>3.0</v>
      </c>
      <c r="E953" s="7" t="s">
        <v>9</v>
      </c>
      <c r="F953" s="7" t="s">
        <v>10</v>
      </c>
      <c r="G953" s="7">
        <v>19933.458</v>
      </c>
      <c r="H953" s="3"/>
    </row>
    <row r="954" ht="14.25" customHeight="1">
      <c r="A954" s="7">
        <v>57.0</v>
      </c>
      <c r="B954" s="7" t="s">
        <v>11</v>
      </c>
      <c r="C954" s="7">
        <v>18.335</v>
      </c>
      <c r="D954" s="7">
        <v>0.0</v>
      </c>
      <c r="E954" s="7" t="s">
        <v>12</v>
      </c>
      <c r="F954" s="7" t="s">
        <v>15</v>
      </c>
      <c r="G954" s="7">
        <v>11534.87265</v>
      </c>
      <c r="H954" s="3"/>
    </row>
    <row r="955" ht="14.25" customHeight="1">
      <c r="A955" s="7">
        <v>51.0</v>
      </c>
      <c r="B955" s="7" t="s">
        <v>11</v>
      </c>
      <c r="C955" s="7">
        <v>42.9</v>
      </c>
      <c r="D955" s="7">
        <v>2.0</v>
      </c>
      <c r="E955" s="7" t="s">
        <v>9</v>
      </c>
      <c r="F955" s="7" t="s">
        <v>13</v>
      </c>
      <c r="G955" s="7">
        <v>47462.894</v>
      </c>
      <c r="H955" s="3"/>
    </row>
    <row r="956" ht="14.25" customHeight="1">
      <c r="A956" s="7">
        <v>30.0</v>
      </c>
      <c r="B956" s="7" t="s">
        <v>8</v>
      </c>
      <c r="C956" s="7">
        <v>28.405</v>
      </c>
      <c r="D956" s="7">
        <v>1.0</v>
      </c>
      <c r="E956" s="7" t="s">
        <v>12</v>
      </c>
      <c r="F956" s="7" t="s">
        <v>14</v>
      </c>
      <c r="G956" s="7">
        <v>4527.18295</v>
      </c>
      <c r="H956" s="3"/>
    </row>
    <row r="957" ht="14.25" customHeight="1">
      <c r="A957" s="7">
        <v>44.0</v>
      </c>
      <c r="B957" s="7" t="s">
        <v>11</v>
      </c>
      <c r="C957" s="7">
        <v>30.2</v>
      </c>
      <c r="D957" s="7">
        <v>2.0</v>
      </c>
      <c r="E957" s="7" t="s">
        <v>9</v>
      </c>
      <c r="F957" s="7" t="s">
        <v>10</v>
      </c>
      <c r="G957" s="7">
        <v>38998.546</v>
      </c>
      <c r="H957" s="3"/>
    </row>
    <row r="958" ht="14.25" customHeight="1">
      <c r="A958" s="7">
        <v>34.0</v>
      </c>
      <c r="B958" s="7" t="s">
        <v>11</v>
      </c>
      <c r="C958" s="7">
        <v>27.835</v>
      </c>
      <c r="D958" s="7">
        <v>1.0</v>
      </c>
      <c r="E958" s="7" t="s">
        <v>9</v>
      </c>
      <c r="F958" s="7" t="s">
        <v>14</v>
      </c>
      <c r="G958" s="7">
        <v>20009.63365</v>
      </c>
      <c r="H958" s="3"/>
    </row>
    <row r="959" ht="14.25" customHeight="1">
      <c r="A959" s="7">
        <v>31.0</v>
      </c>
      <c r="B959" s="7" t="s">
        <v>11</v>
      </c>
      <c r="C959" s="7">
        <v>39.49</v>
      </c>
      <c r="D959" s="7">
        <v>1.0</v>
      </c>
      <c r="E959" s="7" t="s">
        <v>12</v>
      </c>
      <c r="F959" s="7" t="s">
        <v>13</v>
      </c>
      <c r="G959" s="7">
        <v>3875.7341</v>
      </c>
      <c r="H959" s="3"/>
    </row>
    <row r="960" ht="14.25" customHeight="1">
      <c r="A960" s="7">
        <v>54.0</v>
      </c>
      <c r="B960" s="7" t="s">
        <v>11</v>
      </c>
      <c r="C960" s="7">
        <v>30.8</v>
      </c>
      <c r="D960" s="7">
        <v>1.0</v>
      </c>
      <c r="E960" s="7" t="s">
        <v>9</v>
      </c>
      <c r="F960" s="7" t="s">
        <v>13</v>
      </c>
      <c r="G960" s="7">
        <v>41999.52</v>
      </c>
      <c r="H960" s="3"/>
    </row>
    <row r="961" ht="14.25" customHeight="1">
      <c r="A961" s="7">
        <v>24.0</v>
      </c>
      <c r="B961" s="7" t="s">
        <v>11</v>
      </c>
      <c r="C961" s="7">
        <v>26.79</v>
      </c>
      <c r="D961" s="7">
        <v>1.0</v>
      </c>
      <c r="E961" s="7" t="s">
        <v>12</v>
      </c>
      <c r="F961" s="7" t="s">
        <v>14</v>
      </c>
      <c r="G961" s="7">
        <v>12609.88702</v>
      </c>
      <c r="H961" s="3"/>
    </row>
    <row r="962" ht="14.25" customHeight="1">
      <c r="A962" s="7">
        <v>43.0</v>
      </c>
      <c r="B962" s="7" t="s">
        <v>11</v>
      </c>
      <c r="C962" s="7">
        <v>34.96</v>
      </c>
      <c r="D962" s="7">
        <v>1.0</v>
      </c>
      <c r="E962" s="7" t="s">
        <v>9</v>
      </c>
      <c r="F962" s="7" t="s">
        <v>15</v>
      </c>
      <c r="G962" s="7">
        <v>41034.2214</v>
      </c>
      <c r="H962" s="3"/>
    </row>
    <row r="963" ht="14.25" customHeight="1">
      <c r="A963" s="7">
        <v>48.0</v>
      </c>
      <c r="B963" s="7" t="s">
        <v>11</v>
      </c>
      <c r="C963" s="7">
        <v>36.67</v>
      </c>
      <c r="D963" s="7">
        <v>1.0</v>
      </c>
      <c r="E963" s="7" t="s">
        <v>12</v>
      </c>
      <c r="F963" s="7" t="s">
        <v>14</v>
      </c>
      <c r="G963" s="7">
        <v>28468.91901</v>
      </c>
      <c r="H963" s="3"/>
    </row>
    <row r="964" ht="14.25" customHeight="1">
      <c r="A964" s="7">
        <v>19.0</v>
      </c>
      <c r="B964" s="7" t="s">
        <v>8</v>
      </c>
      <c r="C964" s="7">
        <v>39.615</v>
      </c>
      <c r="D964" s="7">
        <v>1.0</v>
      </c>
      <c r="E964" s="7" t="s">
        <v>12</v>
      </c>
      <c r="F964" s="7" t="s">
        <v>14</v>
      </c>
      <c r="G964" s="7">
        <v>2730.10785</v>
      </c>
      <c r="H964" s="3"/>
    </row>
    <row r="965" ht="14.25" customHeight="1">
      <c r="A965" s="7">
        <v>29.0</v>
      </c>
      <c r="B965" s="7" t="s">
        <v>8</v>
      </c>
      <c r="C965" s="7">
        <v>25.9</v>
      </c>
      <c r="D965" s="7">
        <v>0.0</v>
      </c>
      <c r="E965" s="7" t="s">
        <v>12</v>
      </c>
      <c r="F965" s="7" t="s">
        <v>10</v>
      </c>
      <c r="G965" s="7">
        <v>3353.284</v>
      </c>
      <c r="H965" s="3"/>
    </row>
    <row r="966" ht="14.25" customHeight="1">
      <c r="A966" s="7">
        <v>63.0</v>
      </c>
      <c r="B966" s="7" t="s">
        <v>8</v>
      </c>
      <c r="C966" s="7">
        <v>35.2</v>
      </c>
      <c r="D966" s="7">
        <v>1.0</v>
      </c>
      <c r="E966" s="7" t="s">
        <v>12</v>
      </c>
      <c r="F966" s="7" t="s">
        <v>13</v>
      </c>
      <c r="G966" s="7">
        <v>14474.675</v>
      </c>
      <c r="H966" s="3"/>
    </row>
    <row r="967" ht="14.25" customHeight="1">
      <c r="A967" s="7">
        <v>46.0</v>
      </c>
      <c r="B967" s="7" t="s">
        <v>11</v>
      </c>
      <c r="C967" s="7">
        <v>24.795</v>
      </c>
      <c r="D967" s="7">
        <v>3.0</v>
      </c>
      <c r="E967" s="7" t="s">
        <v>12</v>
      </c>
      <c r="F967" s="7" t="s">
        <v>15</v>
      </c>
      <c r="G967" s="7">
        <v>9500.57305</v>
      </c>
      <c r="H967" s="3"/>
    </row>
    <row r="968" ht="14.25" customHeight="1">
      <c r="A968" s="7">
        <v>52.0</v>
      </c>
      <c r="B968" s="7" t="s">
        <v>11</v>
      </c>
      <c r="C968" s="7">
        <v>36.765</v>
      </c>
      <c r="D968" s="7">
        <v>2.0</v>
      </c>
      <c r="E968" s="7" t="s">
        <v>12</v>
      </c>
      <c r="F968" s="7" t="s">
        <v>14</v>
      </c>
      <c r="G968" s="7">
        <v>26467.09737</v>
      </c>
      <c r="H968" s="3"/>
    </row>
    <row r="969" ht="14.25" customHeight="1">
      <c r="A969" s="7">
        <v>35.0</v>
      </c>
      <c r="B969" s="7" t="s">
        <v>11</v>
      </c>
      <c r="C969" s="7">
        <v>27.1</v>
      </c>
      <c r="D969" s="7">
        <v>1.0</v>
      </c>
      <c r="E969" s="7" t="s">
        <v>12</v>
      </c>
      <c r="F969" s="7" t="s">
        <v>10</v>
      </c>
      <c r="G969" s="7">
        <v>4746.344</v>
      </c>
      <c r="H969" s="3"/>
    </row>
    <row r="970" ht="14.25" customHeight="1">
      <c r="A970" s="7">
        <v>51.0</v>
      </c>
      <c r="B970" s="7" t="s">
        <v>11</v>
      </c>
      <c r="C970" s="7">
        <v>24.795</v>
      </c>
      <c r="D970" s="7">
        <v>2.0</v>
      </c>
      <c r="E970" s="7" t="s">
        <v>9</v>
      </c>
      <c r="F970" s="7" t="s">
        <v>14</v>
      </c>
      <c r="G970" s="7">
        <v>23967.38305</v>
      </c>
      <c r="H970" s="3"/>
    </row>
    <row r="971" ht="14.25" customHeight="1">
      <c r="A971" s="7">
        <v>44.0</v>
      </c>
      <c r="B971" s="7" t="s">
        <v>11</v>
      </c>
      <c r="C971" s="7">
        <v>25.365</v>
      </c>
      <c r="D971" s="7">
        <v>1.0</v>
      </c>
      <c r="E971" s="7" t="s">
        <v>12</v>
      </c>
      <c r="F971" s="7" t="s">
        <v>14</v>
      </c>
      <c r="G971" s="7">
        <v>7518.02535</v>
      </c>
      <c r="H971" s="3"/>
    </row>
    <row r="972" ht="14.25" customHeight="1">
      <c r="A972" s="7">
        <v>21.0</v>
      </c>
      <c r="B972" s="7" t="s">
        <v>11</v>
      </c>
      <c r="C972" s="7">
        <v>25.745</v>
      </c>
      <c r="D972" s="7">
        <v>2.0</v>
      </c>
      <c r="E972" s="7" t="s">
        <v>12</v>
      </c>
      <c r="F972" s="7" t="s">
        <v>15</v>
      </c>
      <c r="G972" s="7">
        <v>3279.86855</v>
      </c>
      <c r="H972" s="3"/>
    </row>
    <row r="973" ht="14.25" customHeight="1">
      <c r="A973" s="7">
        <v>39.0</v>
      </c>
      <c r="B973" s="7" t="s">
        <v>8</v>
      </c>
      <c r="C973" s="7">
        <v>34.32</v>
      </c>
      <c r="D973" s="7">
        <v>5.0</v>
      </c>
      <c r="E973" s="7" t="s">
        <v>12</v>
      </c>
      <c r="F973" s="7" t="s">
        <v>13</v>
      </c>
      <c r="G973" s="7">
        <v>8596.8278</v>
      </c>
      <c r="H973" s="3"/>
    </row>
    <row r="974" ht="14.25" customHeight="1">
      <c r="A974" s="7">
        <v>50.0</v>
      </c>
      <c r="B974" s="7" t="s">
        <v>8</v>
      </c>
      <c r="C974" s="7">
        <v>28.16</v>
      </c>
      <c r="D974" s="7">
        <v>3.0</v>
      </c>
      <c r="E974" s="7" t="s">
        <v>12</v>
      </c>
      <c r="F974" s="7" t="s">
        <v>13</v>
      </c>
      <c r="G974" s="7">
        <v>10702.6424</v>
      </c>
      <c r="H974" s="3"/>
    </row>
    <row r="975" ht="14.25" customHeight="1">
      <c r="A975" s="7">
        <v>34.0</v>
      </c>
      <c r="B975" s="7" t="s">
        <v>8</v>
      </c>
      <c r="C975" s="7">
        <v>23.56</v>
      </c>
      <c r="D975" s="7">
        <v>0.0</v>
      </c>
      <c r="E975" s="7" t="s">
        <v>12</v>
      </c>
      <c r="F975" s="7" t="s">
        <v>15</v>
      </c>
      <c r="G975" s="7">
        <v>4992.3764</v>
      </c>
      <c r="H975" s="3"/>
    </row>
    <row r="976" ht="14.25" customHeight="1">
      <c r="A976" s="7">
        <v>22.0</v>
      </c>
      <c r="B976" s="7" t="s">
        <v>8</v>
      </c>
      <c r="C976" s="7">
        <v>20.235</v>
      </c>
      <c r="D976" s="7">
        <v>0.0</v>
      </c>
      <c r="E976" s="7" t="s">
        <v>12</v>
      </c>
      <c r="F976" s="7" t="s">
        <v>14</v>
      </c>
      <c r="G976" s="7">
        <v>2527.81865</v>
      </c>
      <c r="H976" s="3"/>
    </row>
    <row r="977" ht="14.25" customHeight="1">
      <c r="A977" s="7">
        <v>19.0</v>
      </c>
      <c r="B977" s="7" t="s">
        <v>8</v>
      </c>
      <c r="C977" s="7">
        <v>40.5</v>
      </c>
      <c r="D977" s="7">
        <v>0.0</v>
      </c>
      <c r="E977" s="7" t="s">
        <v>12</v>
      </c>
      <c r="F977" s="7" t="s">
        <v>10</v>
      </c>
      <c r="G977" s="7">
        <v>1759.338</v>
      </c>
      <c r="H977" s="3"/>
    </row>
    <row r="978" ht="14.25" customHeight="1">
      <c r="A978" s="7">
        <v>26.0</v>
      </c>
      <c r="B978" s="7" t="s">
        <v>11</v>
      </c>
      <c r="C978" s="7">
        <v>35.42</v>
      </c>
      <c r="D978" s="7">
        <v>0.0</v>
      </c>
      <c r="E978" s="7" t="s">
        <v>12</v>
      </c>
      <c r="F978" s="7" t="s">
        <v>13</v>
      </c>
      <c r="G978" s="7">
        <v>2322.6218</v>
      </c>
      <c r="H978" s="3"/>
    </row>
    <row r="979" ht="14.25" customHeight="1">
      <c r="A979" s="7">
        <v>29.0</v>
      </c>
      <c r="B979" s="7" t="s">
        <v>11</v>
      </c>
      <c r="C979" s="7">
        <v>22.895</v>
      </c>
      <c r="D979" s="7">
        <v>0.0</v>
      </c>
      <c r="E979" s="7" t="s">
        <v>9</v>
      </c>
      <c r="F979" s="7" t="s">
        <v>15</v>
      </c>
      <c r="G979" s="7">
        <v>16138.76205</v>
      </c>
      <c r="H979" s="3"/>
    </row>
    <row r="980" ht="14.25" customHeight="1">
      <c r="A980" s="7">
        <v>48.0</v>
      </c>
      <c r="B980" s="7" t="s">
        <v>11</v>
      </c>
      <c r="C980" s="7">
        <v>40.15</v>
      </c>
      <c r="D980" s="7">
        <v>0.0</v>
      </c>
      <c r="E980" s="7" t="s">
        <v>12</v>
      </c>
      <c r="F980" s="7" t="s">
        <v>13</v>
      </c>
      <c r="G980" s="7">
        <v>7804.1605</v>
      </c>
      <c r="H980" s="3"/>
    </row>
    <row r="981" ht="14.25" customHeight="1">
      <c r="A981" s="7">
        <v>26.0</v>
      </c>
      <c r="B981" s="7" t="s">
        <v>11</v>
      </c>
      <c r="C981" s="7">
        <v>29.15</v>
      </c>
      <c r="D981" s="7">
        <v>1.0</v>
      </c>
      <c r="E981" s="7" t="s">
        <v>12</v>
      </c>
      <c r="F981" s="7" t="s">
        <v>13</v>
      </c>
      <c r="G981" s="7">
        <v>2902.9065</v>
      </c>
      <c r="H981" s="3"/>
    </row>
    <row r="982" ht="14.25" customHeight="1">
      <c r="A982" s="7">
        <v>45.0</v>
      </c>
      <c r="B982" s="7" t="s">
        <v>8</v>
      </c>
      <c r="C982" s="7">
        <v>39.995</v>
      </c>
      <c r="D982" s="7">
        <v>3.0</v>
      </c>
      <c r="E982" s="7" t="s">
        <v>12</v>
      </c>
      <c r="F982" s="7" t="s">
        <v>15</v>
      </c>
      <c r="G982" s="7">
        <v>9704.66805</v>
      </c>
      <c r="H982" s="3"/>
    </row>
    <row r="983" ht="14.25" customHeight="1">
      <c r="A983" s="7">
        <v>36.0</v>
      </c>
      <c r="B983" s="7" t="s">
        <v>8</v>
      </c>
      <c r="C983" s="7">
        <v>29.92</v>
      </c>
      <c r="D983" s="7">
        <v>0.0</v>
      </c>
      <c r="E983" s="7" t="s">
        <v>12</v>
      </c>
      <c r="F983" s="7" t="s">
        <v>13</v>
      </c>
      <c r="G983" s="7">
        <v>4889.0368</v>
      </c>
      <c r="H983" s="3"/>
    </row>
    <row r="984" ht="14.25" customHeight="1">
      <c r="A984" s="7">
        <v>54.0</v>
      </c>
      <c r="B984" s="7" t="s">
        <v>11</v>
      </c>
      <c r="C984" s="7">
        <v>25.46</v>
      </c>
      <c r="D984" s="7">
        <v>1.0</v>
      </c>
      <c r="E984" s="7" t="s">
        <v>12</v>
      </c>
      <c r="F984" s="7" t="s">
        <v>15</v>
      </c>
      <c r="G984" s="7">
        <v>25517.11363</v>
      </c>
      <c r="H984" s="3"/>
    </row>
    <row r="985" ht="14.25" customHeight="1">
      <c r="A985" s="7">
        <v>34.0</v>
      </c>
      <c r="B985" s="7" t="s">
        <v>11</v>
      </c>
      <c r="C985" s="7">
        <v>21.375</v>
      </c>
      <c r="D985" s="7">
        <v>0.0</v>
      </c>
      <c r="E985" s="7" t="s">
        <v>12</v>
      </c>
      <c r="F985" s="7" t="s">
        <v>15</v>
      </c>
      <c r="G985" s="7">
        <v>4500.33925</v>
      </c>
      <c r="H985" s="3"/>
    </row>
    <row r="986" ht="14.25" customHeight="1">
      <c r="A986" s="7">
        <v>31.0</v>
      </c>
      <c r="B986" s="7" t="s">
        <v>11</v>
      </c>
      <c r="C986" s="7">
        <v>25.9</v>
      </c>
      <c r="D986" s="7">
        <v>3.0</v>
      </c>
      <c r="E986" s="7" t="s">
        <v>9</v>
      </c>
      <c r="F986" s="7" t="s">
        <v>10</v>
      </c>
      <c r="G986" s="7">
        <v>19199.944</v>
      </c>
      <c r="H986" s="3"/>
    </row>
    <row r="987" ht="14.25" customHeight="1">
      <c r="A987" s="7">
        <v>27.0</v>
      </c>
      <c r="B987" s="7" t="s">
        <v>8</v>
      </c>
      <c r="C987" s="7">
        <v>30.59</v>
      </c>
      <c r="D987" s="7">
        <v>1.0</v>
      </c>
      <c r="E987" s="7" t="s">
        <v>12</v>
      </c>
      <c r="F987" s="7" t="s">
        <v>15</v>
      </c>
      <c r="G987" s="7">
        <v>16796.41194</v>
      </c>
      <c r="H987" s="3"/>
    </row>
    <row r="988" ht="14.25" customHeight="1">
      <c r="A988" s="7">
        <v>20.0</v>
      </c>
      <c r="B988" s="7" t="s">
        <v>11</v>
      </c>
      <c r="C988" s="7">
        <v>30.115</v>
      </c>
      <c r="D988" s="7">
        <v>5.0</v>
      </c>
      <c r="E988" s="7" t="s">
        <v>12</v>
      </c>
      <c r="F988" s="7" t="s">
        <v>15</v>
      </c>
      <c r="G988" s="7">
        <v>4915.05985</v>
      </c>
      <c r="H988" s="3"/>
    </row>
    <row r="989" ht="14.25" customHeight="1">
      <c r="A989" s="7">
        <v>44.0</v>
      </c>
      <c r="B989" s="7" t="s">
        <v>8</v>
      </c>
      <c r="C989" s="7">
        <v>25.8</v>
      </c>
      <c r="D989" s="7">
        <v>1.0</v>
      </c>
      <c r="E989" s="7" t="s">
        <v>12</v>
      </c>
      <c r="F989" s="7" t="s">
        <v>10</v>
      </c>
      <c r="G989" s="7">
        <v>7624.63</v>
      </c>
      <c r="H989" s="3"/>
    </row>
    <row r="990" ht="14.25" customHeight="1">
      <c r="A990" s="7">
        <v>43.0</v>
      </c>
      <c r="B990" s="7" t="s">
        <v>11</v>
      </c>
      <c r="C990" s="7">
        <v>30.115</v>
      </c>
      <c r="D990" s="7">
        <v>3.0</v>
      </c>
      <c r="E990" s="7" t="s">
        <v>12</v>
      </c>
      <c r="F990" s="7" t="s">
        <v>14</v>
      </c>
      <c r="G990" s="7">
        <v>8410.04685</v>
      </c>
      <c r="H990" s="3"/>
    </row>
    <row r="991" ht="14.25" customHeight="1">
      <c r="A991" s="7">
        <v>45.0</v>
      </c>
      <c r="B991" s="7" t="s">
        <v>8</v>
      </c>
      <c r="C991" s="7">
        <v>27.645</v>
      </c>
      <c r="D991" s="7">
        <v>1.0</v>
      </c>
      <c r="E991" s="7" t="s">
        <v>12</v>
      </c>
      <c r="F991" s="7" t="s">
        <v>14</v>
      </c>
      <c r="G991" s="7">
        <v>28340.18885</v>
      </c>
      <c r="H991" s="3"/>
    </row>
    <row r="992" ht="14.25" customHeight="1">
      <c r="A992" s="7">
        <v>34.0</v>
      </c>
      <c r="B992" s="7" t="s">
        <v>11</v>
      </c>
      <c r="C992" s="7">
        <v>34.675</v>
      </c>
      <c r="D992" s="7">
        <v>0.0</v>
      </c>
      <c r="E992" s="7" t="s">
        <v>12</v>
      </c>
      <c r="F992" s="7" t="s">
        <v>15</v>
      </c>
      <c r="G992" s="7">
        <v>4518.82625</v>
      </c>
      <c r="H992" s="3"/>
    </row>
    <row r="993" ht="14.25" customHeight="1">
      <c r="A993" s="7">
        <v>24.0</v>
      </c>
      <c r="B993" s="7" t="s">
        <v>8</v>
      </c>
      <c r="C993" s="7">
        <v>20.52</v>
      </c>
      <c r="D993" s="7">
        <v>0.0</v>
      </c>
      <c r="E993" s="7" t="s">
        <v>9</v>
      </c>
      <c r="F993" s="7" t="s">
        <v>15</v>
      </c>
      <c r="G993" s="7">
        <v>14571.8908</v>
      </c>
      <c r="H993" s="3"/>
    </row>
    <row r="994" ht="14.25" customHeight="1">
      <c r="A994" s="7">
        <v>26.0</v>
      </c>
      <c r="B994" s="7" t="s">
        <v>8</v>
      </c>
      <c r="C994" s="7">
        <v>19.8</v>
      </c>
      <c r="D994" s="7">
        <v>1.0</v>
      </c>
      <c r="E994" s="7" t="s">
        <v>12</v>
      </c>
      <c r="F994" s="7" t="s">
        <v>10</v>
      </c>
      <c r="G994" s="7">
        <v>3378.91</v>
      </c>
      <c r="H994" s="3"/>
    </row>
    <row r="995" ht="14.25" customHeight="1">
      <c r="A995" s="7">
        <v>38.0</v>
      </c>
      <c r="B995" s="7" t="s">
        <v>8</v>
      </c>
      <c r="C995" s="7">
        <v>27.835</v>
      </c>
      <c r="D995" s="7">
        <v>2.0</v>
      </c>
      <c r="E995" s="7" t="s">
        <v>12</v>
      </c>
      <c r="F995" s="7" t="s">
        <v>15</v>
      </c>
      <c r="G995" s="7">
        <v>7144.86265</v>
      </c>
      <c r="H995" s="3"/>
    </row>
    <row r="996" ht="14.25" customHeight="1">
      <c r="A996" s="7">
        <v>50.0</v>
      </c>
      <c r="B996" s="7" t="s">
        <v>8</v>
      </c>
      <c r="C996" s="7">
        <v>31.6</v>
      </c>
      <c r="D996" s="7">
        <v>2.0</v>
      </c>
      <c r="E996" s="7" t="s">
        <v>12</v>
      </c>
      <c r="F996" s="7" t="s">
        <v>10</v>
      </c>
      <c r="G996" s="7">
        <v>10118.424</v>
      </c>
      <c r="H996" s="3"/>
    </row>
    <row r="997" ht="14.25" customHeight="1">
      <c r="A997" s="7">
        <v>38.0</v>
      </c>
      <c r="B997" s="7" t="s">
        <v>11</v>
      </c>
      <c r="C997" s="7">
        <v>28.27</v>
      </c>
      <c r="D997" s="7">
        <v>1.0</v>
      </c>
      <c r="E997" s="7" t="s">
        <v>12</v>
      </c>
      <c r="F997" s="7" t="s">
        <v>13</v>
      </c>
      <c r="G997" s="7">
        <v>5484.4673</v>
      </c>
      <c r="H997" s="3"/>
    </row>
    <row r="998" ht="14.25" customHeight="1">
      <c r="A998" s="7">
        <v>27.0</v>
      </c>
      <c r="B998" s="7" t="s">
        <v>8</v>
      </c>
      <c r="C998" s="7">
        <v>20.045</v>
      </c>
      <c r="D998" s="7">
        <v>3.0</v>
      </c>
      <c r="E998" s="7" t="s">
        <v>9</v>
      </c>
      <c r="F998" s="7" t="s">
        <v>14</v>
      </c>
      <c r="G998" s="7">
        <v>16420.49455</v>
      </c>
      <c r="H998" s="3"/>
    </row>
    <row r="999" ht="14.25" customHeight="1">
      <c r="A999" s="7">
        <v>39.0</v>
      </c>
      <c r="B999" s="7" t="s">
        <v>8</v>
      </c>
      <c r="C999" s="7">
        <v>23.275</v>
      </c>
      <c r="D999" s="7">
        <v>3.0</v>
      </c>
      <c r="E999" s="7" t="s">
        <v>12</v>
      </c>
      <c r="F999" s="7" t="s">
        <v>15</v>
      </c>
      <c r="G999" s="7">
        <v>7986.47525</v>
      </c>
      <c r="H999" s="3"/>
    </row>
    <row r="1000" ht="14.25" customHeight="1">
      <c r="A1000" s="7">
        <v>39.0</v>
      </c>
      <c r="B1000" s="7" t="s">
        <v>8</v>
      </c>
      <c r="C1000" s="7">
        <v>34.1</v>
      </c>
      <c r="D1000" s="7">
        <v>3.0</v>
      </c>
      <c r="E1000" s="7" t="s">
        <v>12</v>
      </c>
      <c r="F1000" s="7" t="s">
        <v>10</v>
      </c>
      <c r="G1000" s="7">
        <v>7418.522</v>
      </c>
      <c r="H1000" s="3"/>
    </row>
    <row r="1001" ht="14.25" customHeight="1">
      <c r="A1001" s="7">
        <v>63.0</v>
      </c>
      <c r="B1001" s="7" t="s">
        <v>8</v>
      </c>
      <c r="C1001" s="7">
        <v>36.85</v>
      </c>
      <c r="D1001" s="7">
        <v>0.0</v>
      </c>
      <c r="E1001" s="7" t="s">
        <v>12</v>
      </c>
      <c r="F1001" s="7" t="s">
        <v>13</v>
      </c>
      <c r="G1001" s="7">
        <v>13887.9685</v>
      </c>
      <c r="H1001" s="3"/>
    </row>
    <row r="1002" ht="14.25" customHeight="1">
      <c r="A1002" s="7">
        <v>33.0</v>
      </c>
      <c r="B1002" s="7" t="s">
        <v>8</v>
      </c>
      <c r="C1002" s="7">
        <v>36.29</v>
      </c>
      <c r="D1002" s="7">
        <v>3.0</v>
      </c>
      <c r="E1002" s="7" t="s">
        <v>12</v>
      </c>
      <c r="F1002" s="7" t="s">
        <v>15</v>
      </c>
      <c r="G1002" s="7">
        <v>6551.7501</v>
      </c>
      <c r="H1002" s="3"/>
    </row>
    <row r="1003" ht="14.25" customHeight="1">
      <c r="A1003" s="7">
        <v>36.0</v>
      </c>
      <c r="B1003" s="7" t="s">
        <v>8</v>
      </c>
      <c r="C1003" s="7">
        <v>26.885</v>
      </c>
      <c r="D1003" s="7">
        <v>0.0</v>
      </c>
      <c r="E1003" s="7" t="s">
        <v>12</v>
      </c>
      <c r="F1003" s="7" t="s">
        <v>14</v>
      </c>
      <c r="G1003" s="7">
        <v>5267.81815</v>
      </c>
      <c r="H1003" s="3"/>
    </row>
    <row r="1004" ht="14.25" customHeight="1">
      <c r="A1004" s="7">
        <v>30.0</v>
      </c>
      <c r="B1004" s="7" t="s">
        <v>11</v>
      </c>
      <c r="C1004" s="7">
        <v>22.99</v>
      </c>
      <c r="D1004" s="7">
        <v>2.0</v>
      </c>
      <c r="E1004" s="7" t="s">
        <v>9</v>
      </c>
      <c r="F1004" s="7" t="s">
        <v>14</v>
      </c>
      <c r="G1004" s="7">
        <v>17361.7661</v>
      </c>
      <c r="H1004" s="3"/>
    </row>
    <row r="1005" ht="14.25" customHeight="1">
      <c r="A1005" s="7">
        <v>24.0</v>
      </c>
      <c r="B1005" s="7" t="s">
        <v>11</v>
      </c>
      <c r="C1005" s="7">
        <v>32.7</v>
      </c>
      <c r="D1005" s="7">
        <v>0.0</v>
      </c>
      <c r="E1005" s="7" t="s">
        <v>9</v>
      </c>
      <c r="F1005" s="7" t="s">
        <v>10</v>
      </c>
      <c r="G1005" s="7">
        <v>34472.841</v>
      </c>
      <c r="H1005" s="3"/>
    </row>
    <row r="1006" ht="14.25" customHeight="1">
      <c r="A1006" s="7">
        <v>24.0</v>
      </c>
      <c r="B1006" s="7" t="s">
        <v>11</v>
      </c>
      <c r="C1006" s="7">
        <v>25.8</v>
      </c>
      <c r="D1006" s="7">
        <v>0.0</v>
      </c>
      <c r="E1006" s="7" t="s">
        <v>12</v>
      </c>
      <c r="F1006" s="7" t="s">
        <v>10</v>
      </c>
      <c r="G1006" s="7">
        <v>1972.95</v>
      </c>
      <c r="H1006" s="3"/>
    </row>
    <row r="1007" ht="14.25" customHeight="1">
      <c r="A1007" s="7">
        <v>48.0</v>
      </c>
      <c r="B1007" s="7" t="s">
        <v>11</v>
      </c>
      <c r="C1007" s="7">
        <v>29.6</v>
      </c>
      <c r="D1007" s="7">
        <v>0.0</v>
      </c>
      <c r="E1007" s="7" t="s">
        <v>12</v>
      </c>
      <c r="F1007" s="7" t="s">
        <v>10</v>
      </c>
      <c r="G1007" s="7">
        <v>21232.18226</v>
      </c>
      <c r="H1007" s="3"/>
    </row>
    <row r="1008" ht="14.25" customHeight="1">
      <c r="A1008" s="7">
        <v>47.0</v>
      </c>
      <c r="B1008" s="7" t="s">
        <v>11</v>
      </c>
      <c r="C1008" s="7">
        <v>19.19</v>
      </c>
      <c r="D1008" s="7">
        <v>1.0</v>
      </c>
      <c r="E1008" s="7" t="s">
        <v>12</v>
      </c>
      <c r="F1008" s="7" t="s">
        <v>15</v>
      </c>
      <c r="G1008" s="7">
        <v>8627.5411</v>
      </c>
      <c r="H1008" s="3"/>
    </row>
    <row r="1009" ht="14.25" customHeight="1">
      <c r="A1009" s="7">
        <v>29.0</v>
      </c>
      <c r="B1009" s="7" t="s">
        <v>11</v>
      </c>
      <c r="C1009" s="7">
        <v>31.73</v>
      </c>
      <c r="D1009" s="7">
        <v>2.0</v>
      </c>
      <c r="E1009" s="7" t="s">
        <v>12</v>
      </c>
      <c r="F1009" s="7" t="s">
        <v>14</v>
      </c>
      <c r="G1009" s="7">
        <v>4433.3877</v>
      </c>
      <c r="H1009" s="3"/>
    </row>
    <row r="1010" ht="14.25" customHeight="1">
      <c r="A1010" s="7">
        <v>28.0</v>
      </c>
      <c r="B1010" s="7" t="s">
        <v>11</v>
      </c>
      <c r="C1010" s="7">
        <v>29.26</v>
      </c>
      <c r="D1010" s="7">
        <v>2.0</v>
      </c>
      <c r="E1010" s="7" t="s">
        <v>12</v>
      </c>
      <c r="F1010" s="7" t="s">
        <v>15</v>
      </c>
      <c r="G1010" s="7">
        <v>4438.2634</v>
      </c>
      <c r="H1010" s="3"/>
    </row>
    <row r="1011" ht="14.25" customHeight="1">
      <c r="A1011" s="7">
        <v>47.0</v>
      </c>
      <c r="B1011" s="7" t="s">
        <v>11</v>
      </c>
      <c r="C1011" s="7">
        <v>28.215</v>
      </c>
      <c r="D1011" s="7">
        <v>3.0</v>
      </c>
      <c r="E1011" s="7" t="s">
        <v>9</v>
      </c>
      <c r="F1011" s="7" t="s">
        <v>14</v>
      </c>
      <c r="G1011" s="7">
        <v>24915.22085</v>
      </c>
      <c r="H1011" s="3"/>
    </row>
    <row r="1012" ht="14.25" customHeight="1">
      <c r="A1012" s="7">
        <v>25.0</v>
      </c>
      <c r="B1012" s="7" t="s">
        <v>11</v>
      </c>
      <c r="C1012" s="7">
        <v>24.985</v>
      </c>
      <c r="D1012" s="7">
        <v>2.0</v>
      </c>
      <c r="E1012" s="7" t="s">
        <v>12</v>
      </c>
      <c r="F1012" s="7" t="s">
        <v>15</v>
      </c>
      <c r="G1012" s="7">
        <v>23241.47453</v>
      </c>
      <c r="H1012" s="3"/>
    </row>
    <row r="1013" ht="14.25" customHeight="1">
      <c r="A1013" s="7">
        <v>51.0</v>
      </c>
      <c r="B1013" s="7" t="s">
        <v>11</v>
      </c>
      <c r="C1013" s="7">
        <v>27.74</v>
      </c>
      <c r="D1013" s="7">
        <v>1.0</v>
      </c>
      <c r="E1013" s="7" t="s">
        <v>12</v>
      </c>
      <c r="F1013" s="7" t="s">
        <v>15</v>
      </c>
      <c r="G1013" s="7">
        <v>9957.7216</v>
      </c>
      <c r="H1013" s="3"/>
    </row>
    <row r="1014" ht="14.25" customHeight="1">
      <c r="A1014" s="7">
        <v>48.0</v>
      </c>
      <c r="B1014" s="7" t="s">
        <v>8</v>
      </c>
      <c r="C1014" s="7">
        <v>22.8</v>
      </c>
      <c r="D1014" s="7">
        <v>0.0</v>
      </c>
      <c r="E1014" s="7" t="s">
        <v>12</v>
      </c>
      <c r="F1014" s="7" t="s">
        <v>10</v>
      </c>
      <c r="G1014" s="7">
        <v>8269.044</v>
      </c>
      <c r="H1014" s="3"/>
    </row>
    <row r="1015" ht="14.25" customHeight="1">
      <c r="A1015" s="7">
        <v>43.0</v>
      </c>
      <c r="B1015" s="7" t="s">
        <v>11</v>
      </c>
      <c r="C1015" s="7">
        <v>20.13</v>
      </c>
      <c r="D1015" s="7">
        <v>2.0</v>
      </c>
      <c r="E1015" s="7" t="s">
        <v>9</v>
      </c>
      <c r="F1015" s="7" t="s">
        <v>13</v>
      </c>
      <c r="G1015" s="7">
        <v>18767.7377</v>
      </c>
      <c r="H1015" s="3"/>
    </row>
    <row r="1016" ht="14.25" customHeight="1">
      <c r="A1016" s="7">
        <v>61.0</v>
      </c>
      <c r="B1016" s="7" t="s">
        <v>8</v>
      </c>
      <c r="C1016" s="7">
        <v>33.33</v>
      </c>
      <c r="D1016" s="7">
        <v>4.0</v>
      </c>
      <c r="E1016" s="7" t="s">
        <v>12</v>
      </c>
      <c r="F1016" s="7" t="s">
        <v>13</v>
      </c>
      <c r="G1016" s="7">
        <v>36580.28216</v>
      </c>
      <c r="H1016" s="3"/>
    </row>
    <row r="1017" ht="14.25" customHeight="1">
      <c r="A1017" s="7">
        <v>48.0</v>
      </c>
      <c r="B1017" s="7" t="s">
        <v>11</v>
      </c>
      <c r="C1017" s="7">
        <v>32.3</v>
      </c>
      <c r="D1017" s="7">
        <v>1.0</v>
      </c>
      <c r="E1017" s="7" t="s">
        <v>12</v>
      </c>
      <c r="F1017" s="7" t="s">
        <v>14</v>
      </c>
      <c r="G1017" s="7">
        <v>8765.249</v>
      </c>
      <c r="H1017" s="3"/>
    </row>
    <row r="1018" ht="14.25" customHeight="1">
      <c r="A1018" s="7">
        <v>38.0</v>
      </c>
      <c r="B1018" s="7" t="s">
        <v>8</v>
      </c>
      <c r="C1018" s="7">
        <v>27.6</v>
      </c>
      <c r="D1018" s="7">
        <v>0.0</v>
      </c>
      <c r="E1018" s="7" t="s">
        <v>12</v>
      </c>
      <c r="F1018" s="7" t="s">
        <v>10</v>
      </c>
      <c r="G1018" s="7">
        <v>5383.536</v>
      </c>
      <c r="H1018" s="3"/>
    </row>
    <row r="1019" ht="14.25" customHeight="1">
      <c r="A1019" s="7">
        <v>59.0</v>
      </c>
      <c r="B1019" s="7" t="s">
        <v>11</v>
      </c>
      <c r="C1019" s="7">
        <v>25.46</v>
      </c>
      <c r="D1019" s="7">
        <v>0.0</v>
      </c>
      <c r="E1019" s="7" t="s">
        <v>12</v>
      </c>
      <c r="F1019" s="7" t="s">
        <v>14</v>
      </c>
      <c r="G1019" s="7">
        <v>12124.9924</v>
      </c>
      <c r="H1019" s="3"/>
    </row>
    <row r="1020" ht="14.25" customHeight="1">
      <c r="A1020" s="7">
        <v>19.0</v>
      </c>
      <c r="B1020" s="7" t="s">
        <v>8</v>
      </c>
      <c r="C1020" s="7">
        <v>24.605</v>
      </c>
      <c r="D1020" s="7">
        <v>1.0</v>
      </c>
      <c r="E1020" s="7" t="s">
        <v>12</v>
      </c>
      <c r="F1020" s="7" t="s">
        <v>14</v>
      </c>
      <c r="G1020" s="7">
        <v>2709.24395</v>
      </c>
      <c r="H1020" s="3"/>
    </row>
    <row r="1021" ht="14.25" customHeight="1">
      <c r="A1021" s="7">
        <v>26.0</v>
      </c>
      <c r="B1021" s="7" t="s">
        <v>8</v>
      </c>
      <c r="C1021" s="7">
        <v>34.2</v>
      </c>
      <c r="D1021" s="7">
        <v>2.0</v>
      </c>
      <c r="E1021" s="7" t="s">
        <v>12</v>
      </c>
      <c r="F1021" s="7" t="s">
        <v>10</v>
      </c>
      <c r="G1021" s="7">
        <v>3987.926</v>
      </c>
      <c r="H1021" s="3"/>
    </row>
    <row r="1022" ht="14.25" customHeight="1">
      <c r="A1022" s="7">
        <v>54.0</v>
      </c>
      <c r="B1022" s="7" t="s">
        <v>8</v>
      </c>
      <c r="C1022" s="7">
        <v>35.815</v>
      </c>
      <c r="D1022" s="7">
        <v>3.0</v>
      </c>
      <c r="E1022" s="7" t="s">
        <v>12</v>
      </c>
      <c r="F1022" s="7" t="s">
        <v>14</v>
      </c>
      <c r="G1022" s="7">
        <v>12495.29085</v>
      </c>
      <c r="H1022" s="3"/>
    </row>
    <row r="1023" ht="14.25" customHeight="1">
      <c r="A1023" s="7">
        <v>21.0</v>
      </c>
      <c r="B1023" s="7" t="s">
        <v>8</v>
      </c>
      <c r="C1023" s="7">
        <v>32.68</v>
      </c>
      <c r="D1023" s="7">
        <v>2.0</v>
      </c>
      <c r="E1023" s="7" t="s">
        <v>12</v>
      </c>
      <c r="F1023" s="7" t="s">
        <v>14</v>
      </c>
      <c r="G1023" s="7">
        <v>26018.95052</v>
      </c>
      <c r="H1023" s="3"/>
    </row>
    <row r="1024" ht="14.25" customHeight="1">
      <c r="A1024" s="7">
        <v>51.0</v>
      </c>
      <c r="B1024" s="7" t="s">
        <v>11</v>
      </c>
      <c r="C1024" s="7">
        <v>37.0</v>
      </c>
      <c r="D1024" s="7">
        <v>0.0</v>
      </c>
      <c r="E1024" s="7" t="s">
        <v>12</v>
      </c>
      <c r="F1024" s="7" t="s">
        <v>10</v>
      </c>
      <c r="G1024" s="7">
        <v>8798.593</v>
      </c>
      <c r="H1024" s="3"/>
    </row>
    <row r="1025" ht="14.25" customHeight="1">
      <c r="A1025" s="7">
        <v>22.0</v>
      </c>
      <c r="B1025" s="7" t="s">
        <v>8</v>
      </c>
      <c r="C1025" s="7">
        <v>31.02</v>
      </c>
      <c r="D1025" s="7">
        <v>3.0</v>
      </c>
      <c r="E1025" s="7" t="s">
        <v>9</v>
      </c>
      <c r="F1025" s="7" t="s">
        <v>13</v>
      </c>
      <c r="G1025" s="7">
        <v>35595.5898</v>
      </c>
      <c r="H1025" s="3"/>
    </row>
    <row r="1026" ht="14.25" customHeight="1">
      <c r="A1026" s="7">
        <v>47.0</v>
      </c>
      <c r="B1026" s="7" t="s">
        <v>11</v>
      </c>
      <c r="C1026" s="7">
        <v>36.08</v>
      </c>
      <c r="D1026" s="7">
        <v>1.0</v>
      </c>
      <c r="E1026" s="7" t="s">
        <v>9</v>
      </c>
      <c r="F1026" s="7" t="s">
        <v>13</v>
      </c>
      <c r="G1026" s="7">
        <v>42211.1382</v>
      </c>
      <c r="H1026" s="3"/>
    </row>
    <row r="1027" ht="14.25" customHeight="1">
      <c r="A1027" s="7">
        <v>18.0</v>
      </c>
      <c r="B1027" s="7" t="s">
        <v>11</v>
      </c>
      <c r="C1027" s="7">
        <v>23.32</v>
      </c>
      <c r="D1027" s="7">
        <v>1.0</v>
      </c>
      <c r="E1027" s="7" t="s">
        <v>12</v>
      </c>
      <c r="F1027" s="7" t="s">
        <v>13</v>
      </c>
      <c r="G1027" s="7">
        <v>1711.0268</v>
      </c>
      <c r="H1027" s="3"/>
    </row>
    <row r="1028" ht="14.25" customHeight="1">
      <c r="A1028" s="7">
        <v>47.0</v>
      </c>
      <c r="B1028" s="7" t="s">
        <v>8</v>
      </c>
      <c r="C1028" s="7">
        <v>45.32</v>
      </c>
      <c r="D1028" s="7">
        <v>1.0</v>
      </c>
      <c r="E1028" s="7" t="s">
        <v>12</v>
      </c>
      <c r="F1028" s="7" t="s">
        <v>13</v>
      </c>
      <c r="G1028" s="7">
        <v>8569.8618</v>
      </c>
      <c r="H1028" s="3"/>
    </row>
    <row r="1029" ht="14.25" customHeight="1">
      <c r="A1029" s="7">
        <v>21.0</v>
      </c>
      <c r="B1029" s="7" t="s">
        <v>8</v>
      </c>
      <c r="C1029" s="7">
        <v>34.6</v>
      </c>
      <c r="D1029" s="7">
        <v>0.0</v>
      </c>
      <c r="E1029" s="7" t="s">
        <v>12</v>
      </c>
      <c r="F1029" s="7" t="s">
        <v>10</v>
      </c>
      <c r="G1029" s="7">
        <v>2020.177</v>
      </c>
      <c r="H1029" s="3"/>
    </row>
    <row r="1030" ht="14.25" customHeight="1">
      <c r="A1030" s="7">
        <v>19.0</v>
      </c>
      <c r="B1030" s="7" t="s">
        <v>11</v>
      </c>
      <c r="C1030" s="7">
        <v>26.03</v>
      </c>
      <c r="D1030" s="7">
        <v>1.0</v>
      </c>
      <c r="E1030" s="7" t="s">
        <v>9</v>
      </c>
      <c r="F1030" s="7" t="s">
        <v>14</v>
      </c>
      <c r="G1030" s="7">
        <v>16450.8947</v>
      </c>
      <c r="H1030" s="3"/>
    </row>
    <row r="1031" ht="14.25" customHeight="1">
      <c r="A1031" s="7">
        <v>23.0</v>
      </c>
      <c r="B1031" s="7" t="s">
        <v>11</v>
      </c>
      <c r="C1031" s="7">
        <v>18.715</v>
      </c>
      <c r="D1031" s="7">
        <v>0.0</v>
      </c>
      <c r="E1031" s="7" t="s">
        <v>12</v>
      </c>
      <c r="F1031" s="7" t="s">
        <v>14</v>
      </c>
      <c r="G1031" s="7">
        <v>21595.38229</v>
      </c>
      <c r="H1031" s="3"/>
    </row>
    <row r="1032" ht="14.25" customHeight="1">
      <c r="A1032" s="7">
        <v>54.0</v>
      </c>
      <c r="B1032" s="7" t="s">
        <v>11</v>
      </c>
      <c r="C1032" s="7">
        <v>31.6</v>
      </c>
      <c r="D1032" s="7">
        <v>0.0</v>
      </c>
      <c r="E1032" s="7" t="s">
        <v>12</v>
      </c>
      <c r="F1032" s="7" t="s">
        <v>10</v>
      </c>
      <c r="G1032" s="7">
        <v>9850.432</v>
      </c>
      <c r="H1032" s="3"/>
    </row>
    <row r="1033" ht="14.25" customHeight="1">
      <c r="A1033" s="7">
        <v>37.0</v>
      </c>
      <c r="B1033" s="7" t="s">
        <v>8</v>
      </c>
      <c r="C1033" s="7">
        <v>17.29</v>
      </c>
      <c r="D1033" s="7">
        <v>2.0</v>
      </c>
      <c r="E1033" s="7" t="s">
        <v>12</v>
      </c>
      <c r="F1033" s="7" t="s">
        <v>15</v>
      </c>
      <c r="G1033" s="7">
        <v>6877.9801</v>
      </c>
      <c r="H1033" s="3"/>
    </row>
    <row r="1034" ht="14.25" customHeight="1">
      <c r="A1034" s="7">
        <v>46.0</v>
      </c>
      <c r="B1034" s="7" t="s">
        <v>8</v>
      </c>
      <c r="C1034" s="7">
        <v>23.655</v>
      </c>
      <c r="D1034" s="7">
        <v>1.0</v>
      </c>
      <c r="E1034" s="7" t="s">
        <v>9</v>
      </c>
      <c r="F1034" s="7" t="s">
        <v>14</v>
      </c>
      <c r="G1034" s="7">
        <v>21677.28345</v>
      </c>
      <c r="H1034" s="3"/>
    </row>
    <row r="1035" ht="14.25" customHeight="1">
      <c r="A1035" s="7">
        <v>55.0</v>
      </c>
      <c r="B1035" s="7" t="s">
        <v>8</v>
      </c>
      <c r="C1035" s="7">
        <v>35.2</v>
      </c>
      <c r="D1035" s="7">
        <v>0.0</v>
      </c>
      <c r="E1035" s="7" t="s">
        <v>9</v>
      </c>
      <c r="F1035" s="7" t="s">
        <v>13</v>
      </c>
      <c r="G1035" s="7">
        <v>44423.803</v>
      </c>
      <c r="H1035" s="3"/>
    </row>
    <row r="1036" ht="14.25" customHeight="1">
      <c r="A1036" s="7">
        <v>30.0</v>
      </c>
      <c r="B1036" s="7" t="s">
        <v>8</v>
      </c>
      <c r="C1036" s="7">
        <v>27.93</v>
      </c>
      <c r="D1036" s="7">
        <v>0.0</v>
      </c>
      <c r="E1036" s="7" t="s">
        <v>12</v>
      </c>
      <c r="F1036" s="7" t="s">
        <v>15</v>
      </c>
      <c r="G1036" s="7">
        <v>4137.5227</v>
      </c>
      <c r="H1036" s="3"/>
    </row>
    <row r="1037" ht="14.25" customHeight="1">
      <c r="A1037" s="7">
        <v>18.0</v>
      </c>
      <c r="B1037" s="7" t="s">
        <v>11</v>
      </c>
      <c r="C1037" s="7">
        <v>21.565</v>
      </c>
      <c r="D1037" s="7">
        <v>0.0</v>
      </c>
      <c r="E1037" s="7" t="s">
        <v>9</v>
      </c>
      <c r="F1037" s="7" t="s">
        <v>15</v>
      </c>
      <c r="G1037" s="7">
        <v>13747.87235</v>
      </c>
      <c r="H1037" s="3"/>
    </row>
    <row r="1038" ht="14.25" customHeight="1">
      <c r="A1038" s="7">
        <v>61.0</v>
      </c>
      <c r="B1038" s="7" t="s">
        <v>11</v>
      </c>
      <c r="C1038" s="7">
        <v>38.38</v>
      </c>
      <c r="D1038" s="7">
        <v>0.0</v>
      </c>
      <c r="E1038" s="7" t="s">
        <v>12</v>
      </c>
      <c r="F1038" s="7" t="s">
        <v>14</v>
      </c>
      <c r="G1038" s="7">
        <v>12950.0712</v>
      </c>
      <c r="H1038" s="3"/>
    </row>
    <row r="1039" ht="14.25" customHeight="1">
      <c r="A1039" s="7">
        <v>54.0</v>
      </c>
      <c r="B1039" s="7" t="s">
        <v>8</v>
      </c>
      <c r="C1039" s="7">
        <v>23.0</v>
      </c>
      <c r="D1039" s="7">
        <v>3.0</v>
      </c>
      <c r="E1039" s="7" t="s">
        <v>12</v>
      </c>
      <c r="F1039" s="7" t="s">
        <v>10</v>
      </c>
      <c r="G1039" s="7">
        <v>12094.478</v>
      </c>
      <c r="H1039" s="3"/>
    </row>
    <row r="1040" ht="14.25" customHeight="1">
      <c r="A1040" s="7">
        <v>22.0</v>
      </c>
      <c r="B1040" s="7" t="s">
        <v>11</v>
      </c>
      <c r="C1040" s="7">
        <v>37.07</v>
      </c>
      <c r="D1040" s="7">
        <v>2.0</v>
      </c>
      <c r="E1040" s="7" t="s">
        <v>9</v>
      </c>
      <c r="F1040" s="7" t="s">
        <v>13</v>
      </c>
      <c r="G1040" s="7">
        <v>37484.4493</v>
      </c>
      <c r="H1040" s="3"/>
    </row>
    <row r="1041" ht="14.25" customHeight="1">
      <c r="A1041" s="7">
        <v>45.0</v>
      </c>
      <c r="B1041" s="7" t="s">
        <v>8</v>
      </c>
      <c r="C1041" s="7">
        <v>30.495</v>
      </c>
      <c r="D1041" s="7">
        <v>1.0</v>
      </c>
      <c r="E1041" s="7" t="s">
        <v>9</v>
      </c>
      <c r="F1041" s="7" t="s">
        <v>14</v>
      </c>
      <c r="G1041" s="7">
        <v>39725.51805</v>
      </c>
      <c r="H1041" s="3"/>
    </row>
    <row r="1042" ht="14.25" customHeight="1">
      <c r="A1042" s="7">
        <v>22.0</v>
      </c>
      <c r="B1042" s="7" t="s">
        <v>11</v>
      </c>
      <c r="C1042" s="7">
        <v>28.88</v>
      </c>
      <c r="D1042" s="7">
        <v>0.0</v>
      </c>
      <c r="E1042" s="7" t="s">
        <v>12</v>
      </c>
      <c r="F1042" s="7" t="s">
        <v>15</v>
      </c>
      <c r="G1042" s="7">
        <v>2250.8352</v>
      </c>
      <c r="H1042" s="3"/>
    </row>
    <row r="1043" ht="14.25" customHeight="1">
      <c r="A1043" s="7">
        <v>19.0</v>
      </c>
      <c r="B1043" s="7" t="s">
        <v>11</v>
      </c>
      <c r="C1043" s="7">
        <v>27.265</v>
      </c>
      <c r="D1043" s="7">
        <v>2.0</v>
      </c>
      <c r="E1043" s="7" t="s">
        <v>12</v>
      </c>
      <c r="F1043" s="7" t="s">
        <v>14</v>
      </c>
      <c r="G1043" s="7">
        <v>22493.65964</v>
      </c>
      <c r="H1043" s="3"/>
    </row>
    <row r="1044" ht="14.25" customHeight="1">
      <c r="A1044" s="7">
        <v>35.0</v>
      </c>
      <c r="B1044" s="7" t="s">
        <v>8</v>
      </c>
      <c r="C1044" s="7">
        <v>28.025</v>
      </c>
      <c r="D1044" s="7">
        <v>0.0</v>
      </c>
      <c r="E1044" s="7" t="s">
        <v>9</v>
      </c>
      <c r="F1044" s="7" t="s">
        <v>14</v>
      </c>
      <c r="G1044" s="7">
        <v>20234.85475</v>
      </c>
      <c r="H1044" s="3"/>
    </row>
    <row r="1045" ht="14.25" customHeight="1">
      <c r="A1045" s="7">
        <v>18.0</v>
      </c>
      <c r="B1045" s="7" t="s">
        <v>11</v>
      </c>
      <c r="C1045" s="7">
        <v>23.085</v>
      </c>
      <c r="D1045" s="7">
        <v>0.0</v>
      </c>
      <c r="E1045" s="7" t="s">
        <v>12</v>
      </c>
      <c r="F1045" s="7" t="s">
        <v>15</v>
      </c>
      <c r="G1045" s="7">
        <v>1704.70015</v>
      </c>
      <c r="H1045" s="3"/>
    </row>
    <row r="1046" ht="14.25" customHeight="1">
      <c r="A1046" s="7">
        <v>20.0</v>
      </c>
      <c r="B1046" s="7" t="s">
        <v>11</v>
      </c>
      <c r="C1046" s="7">
        <v>30.685</v>
      </c>
      <c r="D1046" s="7">
        <v>0.0</v>
      </c>
      <c r="E1046" s="7" t="s">
        <v>9</v>
      </c>
      <c r="F1046" s="7" t="s">
        <v>15</v>
      </c>
      <c r="G1046" s="7">
        <v>33475.81715</v>
      </c>
      <c r="H1046" s="3"/>
    </row>
    <row r="1047" ht="14.25" customHeight="1">
      <c r="A1047" s="7">
        <v>28.0</v>
      </c>
      <c r="B1047" s="7" t="s">
        <v>8</v>
      </c>
      <c r="C1047" s="7">
        <v>25.8</v>
      </c>
      <c r="D1047" s="7">
        <v>0.0</v>
      </c>
      <c r="E1047" s="7" t="s">
        <v>12</v>
      </c>
      <c r="F1047" s="7" t="s">
        <v>10</v>
      </c>
      <c r="G1047" s="7">
        <v>3161.454</v>
      </c>
      <c r="H1047" s="3"/>
    </row>
    <row r="1048" ht="14.25" customHeight="1">
      <c r="A1048" s="7">
        <v>55.0</v>
      </c>
      <c r="B1048" s="7" t="s">
        <v>11</v>
      </c>
      <c r="C1048" s="7">
        <v>35.245</v>
      </c>
      <c r="D1048" s="7">
        <v>1.0</v>
      </c>
      <c r="E1048" s="7" t="s">
        <v>12</v>
      </c>
      <c r="F1048" s="7" t="s">
        <v>15</v>
      </c>
      <c r="G1048" s="7">
        <v>11394.06555</v>
      </c>
      <c r="H1048" s="3"/>
    </row>
    <row r="1049" ht="14.25" customHeight="1">
      <c r="A1049" s="7">
        <v>43.0</v>
      </c>
      <c r="B1049" s="7" t="s">
        <v>8</v>
      </c>
      <c r="C1049" s="7">
        <v>24.7</v>
      </c>
      <c r="D1049" s="7">
        <v>2.0</v>
      </c>
      <c r="E1049" s="7" t="s">
        <v>9</v>
      </c>
      <c r="F1049" s="7" t="s">
        <v>14</v>
      </c>
      <c r="G1049" s="7">
        <v>21880.82</v>
      </c>
      <c r="H1049" s="3"/>
    </row>
    <row r="1050" ht="14.25" customHeight="1">
      <c r="A1050" s="7">
        <v>43.0</v>
      </c>
      <c r="B1050" s="7" t="s">
        <v>8</v>
      </c>
      <c r="C1050" s="7">
        <v>25.08</v>
      </c>
      <c r="D1050" s="7">
        <v>0.0</v>
      </c>
      <c r="E1050" s="7" t="s">
        <v>12</v>
      </c>
      <c r="F1050" s="7" t="s">
        <v>15</v>
      </c>
      <c r="G1050" s="7">
        <v>7325.0482</v>
      </c>
      <c r="H1050" s="3"/>
    </row>
    <row r="1051" ht="14.25" customHeight="1">
      <c r="A1051" s="7">
        <v>22.0</v>
      </c>
      <c r="B1051" s="7" t="s">
        <v>11</v>
      </c>
      <c r="C1051" s="7">
        <v>52.58</v>
      </c>
      <c r="D1051" s="7">
        <v>1.0</v>
      </c>
      <c r="E1051" s="7" t="s">
        <v>9</v>
      </c>
      <c r="F1051" s="7" t="s">
        <v>13</v>
      </c>
      <c r="G1051" s="7">
        <v>44501.3982</v>
      </c>
      <c r="H1051" s="3"/>
    </row>
    <row r="1052" ht="14.25" customHeight="1">
      <c r="A1052" s="7">
        <v>25.0</v>
      </c>
      <c r="B1052" s="7" t="s">
        <v>8</v>
      </c>
      <c r="C1052" s="7">
        <v>22.515</v>
      </c>
      <c r="D1052" s="7">
        <v>1.0</v>
      </c>
      <c r="E1052" s="7" t="s">
        <v>12</v>
      </c>
      <c r="F1052" s="7" t="s">
        <v>14</v>
      </c>
      <c r="G1052" s="7">
        <v>3594.17085</v>
      </c>
      <c r="H1052" s="3"/>
    </row>
    <row r="1053" ht="14.25" customHeight="1">
      <c r="A1053" s="7">
        <v>49.0</v>
      </c>
      <c r="B1053" s="7" t="s">
        <v>11</v>
      </c>
      <c r="C1053" s="7">
        <v>30.9</v>
      </c>
      <c r="D1053" s="7">
        <v>0.0</v>
      </c>
      <c r="E1053" s="7" t="s">
        <v>9</v>
      </c>
      <c r="F1053" s="7" t="s">
        <v>10</v>
      </c>
      <c r="G1053" s="7">
        <v>39727.614</v>
      </c>
      <c r="H1053" s="3"/>
    </row>
    <row r="1054" ht="14.25" customHeight="1">
      <c r="A1054" s="7">
        <v>44.0</v>
      </c>
      <c r="B1054" s="7" t="s">
        <v>8</v>
      </c>
      <c r="C1054" s="7">
        <v>36.955</v>
      </c>
      <c r="D1054" s="7">
        <v>1.0</v>
      </c>
      <c r="E1054" s="7" t="s">
        <v>12</v>
      </c>
      <c r="F1054" s="7" t="s">
        <v>14</v>
      </c>
      <c r="G1054" s="7">
        <v>8023.13545</v>
      </c>
      <c r="H1054" s="3"/>
    </row>
    <row r="1055" ht="14.25" customHeight="1">
      <c r="A1055" s="7">
        <v>64.0</v>
      </c>
      <c r="B1055" s="7" t="s">
        <v>11</v>
      </c>
      <c r="C1055" s="7">
        <v>26.41</v>
      </c>
      <c r="D1055" s="7">
        <v>0.0</v>
      </c>
      <c r="E1055" s="7" t="s">
        <v>12</v>
      </c>
      <c r="F1055" s="7" t="s">
        <v>15</v>
      </c>
      <c r="G1055" s="7">
        <v>14394.5579</v>
      </c>
      <c r="H1055" s="3"/>
    </row>
    <row r="1056" ht="14.25" customHeight="1">
      <c r="A1056" s="7">
        <v>49.0</v>
      </c>
      <c r="B1056" s="7" t="s">
        <v>11</v>
      </c>
      <c r="C1056" s="7">
        <v>29.83</v>
      </c>
      <c r="D1056" s="7">
        <v>1.0</v>
      </c>
      <c r="E1056" s="7" t="s">
        <v>12</v>
      </c>
      <c r="F1056" s="7" t="s">
        <v>15</v>
      </c>
      <c r="G1056" s="7">
        <v>9288.0267</v>
      </c>
      <c r="H1056" s="3"/>
    </row>
    <row r="1057" ht="14.25" customHeight="1">
      <c r="A1057" s="7">
        <v>47.0</v>
      </c>
      <c r="B1057" s="7" t="s">
        <v>11</v>
      </c>
      <c r="C1057" s="7">
        <v>29.8</v>
      </c>
      <c r="D1057" s="7">
        <v>3.0</v>
      </c>
      <c r="E1057" s="7" t="s">
        <v>9</v>
      </c>
      <c r="F1057" s="7" t="s">
        <v>10</v>
      </c>
      <c r="G1057" s="7">
        <v>25309.489</v>
      </c>
      <c r="H1057" s="3"/>
    </row>
    <row r="1058" ht="14.25" customHeight="1">
      <c r="A1058" s="7">
        <v>27.0</v>
      </c>
      <c r="B1058" s="7" t="s">
        <v>8</v>
      </c>
      <c r="C1058" s="7">
        <v>21.47</v>
      </c>
      <c r="D1058" s="7">
        <v>0.0</v>
      </c>
      <c r="E1058" s="7" t="s">
        <v>12</v>
      </c>
      <c r="F1058" s="7" t="s">
        <v>14</v>
      </c>
      <c r="G1058" s="7">
        <v>3353.4703</v>
      </c>
      <c r="H1058" s="3"/>
    </row>
    <row r="1059" ht="14.25" customHeight="1">
      <c r="A1059" s="7">
        <v>55.0</v>
      </c>
      <c r="B1059" s="7" t="s">
        <v>11</v>
      </c>
      <c r="C1059" s="7">
        <v>27.645</v>
      </c>
      <c r="D1059" s="7">
        <v>0.0</v>
      </c>
      <c r="E1059" s="7" t="s">
        <v>12</v>
      </c>
      <c r="F1059" s="7" t="s">
        <v>14</v>
      </c>
      <c r="G1059" s="7">
        <v>10594.50155</v>
      </c>
      <c r="H1059" s="3"/>
    </row>
    <row r="1060" ht="14.25" customHeight="1">
      <c r="A1060" s="7">
        <v>48.0</v>
      </c>
      <c r="B1060" s="7" t="s">
        <v>8</v>
      </c>
      <c r="C1060" s="7">
        <v>28.9</v>
      </c>
      <c r="D1060" s="7">
        <v>0.0</v>
      </c>
      <c r="E1060" s="7" t="s">
        <v>12</v>
      </c>
      <c r="F1060" s="7" t="s">
        <v>10</v>
      </c>
      <c r="G1060" s="7">
        <v>8277.523</v>
      </c>
      <c r="H1060" s="3"/>
    </row>
    <row r="1061" ht="14.25" customHeight="1">
      <c r="A1061" s="7">
        <v>45.0</v>
      </c>
      <c r="B1061" s="7" t="s">
        <v>8</v>
      </c>
      <c r="C1061" s="7">
        <v>31.79</v>
      </c>
      <c r="D1061" s="7">
        <v>0.0</v>
      </c>
      <c r="E1061" s="7" t="s">
        <v>12</v>
      </c>
      <c r="F1061" s="7" t="s">
        <v>13</v>
      </c>
      <c r="G1061" s="7">
        <v>17929.30337</v>
      </c>
      <c r="H1061" s="3"/>
    </row>
    <row r="1062" ht="14.25" customHeight="1">
      <c r="A1062" s="7">
        <v>24.0</v>
      </c>
      <c r="B1062" s="7" t="s">
        <v>8</v>
      </c>
      <c r="C1062" s="7">
        <v>39.49</v>
      </c>
      <c r="D1062" s="7">
        <v>0.0</v>
      </c>
      <c r="E1062" s="7" t="s">
        <v>12</v>
      </c>
      <c r="F1062" s="7" t="s">
        <v>13</v>
      </c>
      <c r="G1062" s="7">
        <v>2480.9791</v>
      </c>
      <c r="H1062" s="3"/>
    </row>
    <row r="1063" ht="14.25" customHeight="1">
      <c r="A1063" s="7">
        <v>32.0</v>
      </c>
      <c r="B1063" s="7" t="s">
        <v>11</v>
      </c>
      <c r="C1063" s="7">
        <v>33.82</v>
      </c>
      <c r="D1063" s="7">
        <v>1.0</v>
      </c>
      <c r="E1063" s="7" t="s">
        <v>12</v>
      </c>
      <c r="F1063" s="7" t="s">
        <v>14</v>
      </c>
      <c r="G1063" s="7">
        <v>4462.7218</v>
      </c>
      <c r="H1063" s="3"/>
    </row>
    <row r="1064" ht="14.25" customHeight="1">
      <c r="A1064" s="7">
        <v>24.0</v>
      </c>
      <c r="B1064" s="7" t="s">
        <v>11</v>
      </c>
      <c r="C1064" s="7">
        <v>32.01</v>
      </c>
      <c r="D1064" s="7">
        <v>0.0</v>
      </c>
      <c r="E1064" s="7" t="s">
        <v>12</v>
      </c>
      <c r="F1064" s="7" t="s">
        <v>13</v>
      </c>
      <c r="G1064" s="7">
        <v>1981.5819</v>
      </c>
      <c r="H1064" s="3"/>
    </row>
    <row r="1065" ht="14.25" customHeight="1">
      <c r="A1065" s="7">
        <v>57.0</v>
      </c>
      <c r="B1065" s="7" t="s">
        <v>11</v>
      </c>
      <c r="C1065" s="7">
        <v>27.94</v>
      </c>
      <c r="D1065" s="7">
        <v>1.0</v>
      </c>
      <c r="E1065" s="7" t="s">
        <v>12</v>
      </c>
      <c r="F1065" s="7" t="s">
        <v>13</v>
      </c>
      <c r="G1065" s="7">
        <v>11554.2236</v>
      </c>
      <c r="H1065" s="3"/>
    </row>
    <row r="1066" ht="14.25" customHeight="1">
      <c r="A1066" s="7">
        <v>59.0</v>
      </c>
      <c r="B1066" s="7" t="s">
        <v>11</v>
      </c>
      <c r="C1066" s="7">
        <v>41.14</v>
      </c>
      <c r="D1066" s="7">
        <v>1.0</v>
      </c>
      <c r="E1066" s="7" t="s">
        <v>9</v>
      </c>
      <c r="F1066" s="7" t="s">
        <v>13</v>
      </c>
      <c r="G1066" s="7">
        <v>48970.2476</v>
      </c>
      <c r="H1066" s="3"/>
    </row>
    <row r="1067" ht="14.25" customHeight="1">
      <c r="A1067" s="7">
        <v>36.0</v>
      </c>
      <c r="B1067" s="7" t="s">
        <v>11</v>
      </c>
      <c r="C1067" s="7">
        <v>28.595</v>
      </c>
      <c r="D1067" s="7">
        <v>3.0</v>
      </c>
      <c r="E1067" s="7" t="s">
        <v>12</v>
      </c>
      <c r="F1067" s="7" t="s">
        <v>14</v>
      </c>
      <c r="G1067" s="7">
        <v>6548.19505</v>
      </c>
      <c r="H1067" s="3"/>
    </row>
    <row r="1068" ht="14.25" customHeight="1">
      <c r="A1068" s="7">
        <v>29.0</v>
      </c>
      <c r="B1068" s="7" t="s">
        <v>8</v>
      </c>
      <c r="C1068" s="7">
        <v>25.6</v>
      </c>
      <c r="D1068" s="7">
        <v>4.0</v>
      </c>
      <c r="E1068" s="7" t="s">
        <v>12</v>
      </c>
      <c r="F1068" s="7" t="s">
        <v>10</v>
      </c>
      <c r="G1068" s="7">
        <v>5708.867</v>
      </c>
      <c r="H1068" s="3"/>
    </row>
    <row r="1069" ht="14.25" customHeight="1">
      <c r="A1069" s="7">
        <v>42.0</v>
      </c>
      <c r="B1069" s="7" t="s">
        <v>8</v>
      </c>
      <c r="C1069" s="7">
        <v>25.3</v>
      </c>
      <c r="D1069" s="7">
        <v>1.0</v>
      </c>
      <c r="E1069" s="7" t="s">
        <v>12</v>
      </c>
      <c r="F1069" s="7" t="s">
        <v>10</v>
      </c>
      <c r="G1069" s="7">
        <v>7045.499</v>
      </c>
      <c r="H1069" s="3"/>
    </row>
    <row r="1070" ht="14.25" customHeight="1">
      <c r="A1070" s="7">
        <v>48.0</v>
      </c>
      <c r="B1070" s="7" t="s">
        <v>11</v>
      </c>
      <c r="C1070" s="7">
        <v>37.29</v>
      </c>
      <c r="D1070" s="7">
        <v>2.0</v>
      </c>
      <c r="E1070" s="7" t="s">
        <v>12</v>
      </c>
      <c r="F1070" s="7" t="s">
        <v>13</v>
      </c>
      <c r="G1070" s="7">
        <v>8978.1851</v>
      </c>
      <c r="H1070" s="3"/>
    </row>
    <row r="1071" ht="14.25" customHeight="1">
      <c r="A1071" s="7">
        <v>39.0</v>
      </c>
      <c r="B1071" s="7" t="s">
        <v>11</v>
      </c>
      <c r="C1071" s="7">
        <v>42.655</v>
      </c>
      <c r="D1071" s="7">
        <v>0.0</v>
      </c>
      <c r="E1071" s="7" t="s">
        <v>12</v>
      </c>
      <c r="F1071" s="7" t="s">
        <v>15</v>
      </c>
      <c r="G1071" s="7">
        <v>5757.41345</v>
      </c>
      <c r="H1071" s="3"/>
    </row>
    <row r="1072" ht="14.25" customHeight="1">
      <c r="A1072" s="7">
        <v>63.0</v>
      </c>
      <c r="B1072" s="7" t="s">
        <v>11</v>
      </c>
      <c r="C1072" s="7">
        <v>21.66</v>
      </c>
      <c r="D1072" s="7">
        <v>1.0</v>
      </c>
      <c r="E1072" s="7" t="s">
        <v>12</v>
      </c>
      <c r="F1072" s="7" t="s">
        <v>14</v>
      </c>
      <c r="G1072" s="7">
        <v>14349.8544</v>
      </c>
      <c r="H1072" s="3"/>
    </row>
    <row r="1073" ht="14.25" customHeight="1">
      <c r="A1073" s="7">
        <v>54.0</v>
      </c>
      <c r="B1073" s="7" t="s">
        <v>8</v>
      </c>
      <c r="C1073" s="7">
        <v>31.9</v>
      </c>
      <c r="D1073" s="7">
        <v>1.0</v>
      </c>
      <c r="E1073" s="7" t="s">
        <v>12</v>
      </c>
      <c r="F1073" s="7" t="s">
        <v>13</v>
      </c>
      <c r="G1073" s="7">
        <v>10928.849</v>
      </c>
      <c r="H1073" s="3"/>
    </row>
    <row r="1074" ht="14.25" customHeight="1">
      <c r="A1074" s="7">
        <v>37.0</v>
      </c>
      <c r="B1074" s="7" t="s">
        <v>11</v>
      </c>
      <c r="C1074" s="7">
        <v>37.07</v>
      </c>
      <c r="D1074" s="7">
        <v>1.0</v>
      </c>
      <c r="E1074" s="7" t="s">
        <v>9</v>
      </c>
      <c r="F1074" s="7" t="s">
        <v>13</v>
      </c>
      <c r="G1074" s="7">
        <v>39871.7043</v>
      </c>
      <c r="H1074" s="3"/>
    </row>
    <row r="1075" ht="14.25" customHeight="1">
      <c r="A1075" s="7">
        <v>63.0</v>
      </c>
      <c r="B1075" s="7" t="s">
        <v>11</v>
      </c>
      <c r="C1075" s="7">
        <v>31.445</v>
      </c>
      <c r="D1075" s="7">
        <v>0.0</v>
      </c>
      <c r="E1075" s="7" t="s">
        <v>12</v>
      </c>
      <c r="F1075" s="7" t="s">
        <v>15</v>
      </c>
      <c r="G1075" s="7">
        <v>13974.45555</v>
      </c>
      <c r="H1075" s="3"/>
    </row>
    <row r="1076" ht="14.25" customHeight="1">
      <c r="A1076" s="7">
        <v>21.0</v>
      </c>
      <c r="B1076" s="7" t="s">
        <v>11</v>
      </c>
      <c r="C1076" s="7">
        <v>31.255</v>
      </c>
      <c r="D1076" s="7">
        <v>0.0</v>
      </c>
      <c r="E1076" s="7" t="s">
        <v>12</v>
      </c>
      <c r="F1076" s="7" t="s">
        <v>14</v>
      </c>
      <c r="G1076" s="7">
        <v>1909.52745</v>
      </c>
      <c r="H1076" s="3"/>
    </row>
    <row r="1077" ht="14.25" customHeight="1">
      <c r="A1077" s="7">
        <v>54.0</v>
      </c>
      <c r="B1077" s="7" t="s">
        <v>8</v>
      </c>
      <c r="C1077" s="7">
        <v>28.88</v>
      </c>
      <c r="D1077" s="7">
        <v>2.0</v>
      </c>
      <c r="E1077" s="7" t="s">
        <v>12</v>
      </c>
      <c r="F1077" s="7" t="s">
        <v>15</v>
      </c>
      <c r="G1077" s="7">
        <v>12096.6512</v>
      </c>
      <c r="H1077" s="3"/>
    </row>
    <row r="1078" ht="14.25" customHeight="1">
      <c r="A1078" s="7">
        <v>60.0</v>
      </c>
      <c r="B1078" s="7" t="s">
        <v>8</v>
      </c>
      <c r="C1078" s="7">
        <v>18.335</v>
      </c>
      <c r="D1078" s="7">
        <v>0.0</v>
      </c>
      <c r="E1078" s="7" t="s">
        <v>12</v>
      </c>
      <c r="F1078" s="7" t="s">
        <v>15</v>
      </c>
      <c r="G1078" s="7">
        <v>13204.28565</v>
      </c>
      <c r="H1078" s="3"/>
    </row>
    <row r="1079" ht="14.25" customHeight="1">
      <c r="A1079" s="7">
        <v>32.0</v>
      </c>
      <c r="B1079" s="7" t="s">
        <v>8</v>
      </c>
      <c r="C1079" s="7">
        <v>29.59</v>
      </c>
      <c r="D1079" s="7">
        <v>1.0</v>
      </c>
      <c r="E1079" s="7" t="s">
        <v>12</v>
      </c>
      <c r="F1079" s="7" t="s">
        <v>13</v>
      </c>
      <c r="G1079" s="7">
        <v>4562.8421</v>
      </c>
      <c r="H1079" s="3"/>
    </row>
    <row r="1080" ht="14.25" customHeight="1">
      <c r="A1080" s="7">
        <v>47.0</v>
      </c>
      <c r="B1080" s="7" t="s">
        <v>8</v>
      </c>
      <c r="C1080" s="7">
        <v>32.0</v>
      </c>
      <c r="D1080" s="7">
        <v>1.0</v>
      </c>
      <c r="E1080" s="7" t="s">
        <v>12</v>
      </c>
      <c r="F1080" s="7" t="s">
        <v>10</v>
      </c>
      <c r="G1080" s="7">
        <v>8551.347</v>
      </c>
      <c r="H1080" s="3"/>
    </row>
    <row r="1081" ht="14.25" customHeight="1">
      <c r="A1081" s="7">
        <v>21.0</v>
      </c>
      <c r="B1081" s="7" t="s">
        <v>11</v>
      </c>
      <c r="C1081" s="7">
        <v>26.03</v>
      </c>
      <c r="D1081" s="7">
        <v>0.0</v>
      </c>
      <c r="E1081" s="7" t="s">
        <v>12</v>
      </c>
      <c r="F1081" s="7" t="s">
        <v>15</v>
      </c>
      <c r="G1081" s="7">
        <v>2102.2647</v>
      </c>
      <c r="H1081" s="3"/>
    </row>
    <row r="1082" ht="14.25" customHeight="1">
      <c r="A1082" s="7">
        <v>28.0</v>
      </c>
      <c r="B1082" s="7" t="s">
        <v>11</v>
      </c>
      <c r="C1082" s="7">
        <v>31.68</v>
      </c>
      <c r="D1082" s="7">
        <v>0.0</v>
      </c>
      <c r="E1082" s="7" t="s">
        <v>9</v>
      </c>
      <c r="F1082" s="7" t="s">
        <v>13</v>
      </c>
      <c r="G1082" s="7">
        <v>34672.1472</v>
      </c>
      <c r="H1082" s="3"/>
    </row>
    <row r="1083" ht="14.25" customHeight="1">
      <c r="A1083" s="7">
        <v>63.0</v>
      </c>
      <c r="B1083" s="7" t="s">
        <v>11</v>
      </c>
      <c r="C1083" s="7">
        <v>33.66</v>
      </c>
      <c r="D1083" s="7">
        <v>3.0</v>
      </c>
      <c r="E1083" s="7" t="s">
        <v>12</v>
      </c>
      <c r="F1083" s="7" t="s">
        <v>13</v>
      </c>
      <c r="G1083" s="7">
        <v>15161.5344</v>
      </c>
      <c r="H1083" s="3"/>
    </row>
    <row r="1084" ht="14.25" customHeight="1">
      <c r="A1084" s="7">
        <v>18.0</v>
      </c>
      <c r="B1084" s="7" t="s">
        <v>11</v>
      </c>
      <c r="C1084" s="7">
        <v>21.78</v>
      </c>
      <c r="D1084" s="7">
        <v>2.0</v>
      </c>
      <c r="E1084" s="7" t="s">
        <v>12</v>
      </c>
      <c r="F1084" s="7" t="s">
        <v>13</v>
      </c>
      <c r="G1084" s="7">
        <v>11884.04858</v>
      </c>
      <c r="H1084" s="3"/>
    </row>
    <row r="1085" ht="14.25" customHeight="1">
      <c r="A1085" s="7">
        <v>32.0</v>
      </c>
      <c r="B1085" s="7" t="s">
        <v>11</v>
      </c>
      <c r="C1085" s="7">
        <v>27.835</v>
      </c>
      <c r="D1085" s="7">
        <v>1.0</v>
      </c>
      <c r="E1085" s="7" t="s">
        <v>12</v>
      </c>
      <c r="F1085" s="7" t="s">
        <v>14</v>
      </c>
      <c r="G1085" s="7">
        <v>4454.40265</v>
      </c>
      <c r="H1085" s="3"/>
    </row>
    <row r="1086" ht="14.25" customHeight="1">
      <c r="A1086" s="7">
        <v>38.0</v>
      </c>
      <c r="B1086" s="7" t="s">
        <v>11</v>
      </c>
      <c r="C1086" s="7">
        <v>19.95</v>
      </c>
      <c r="D1086" s="7">
        <v>1.0</v>
      </c>
      <c r="E1086" s="7" t="s">
        <v>12</v>
      </c>
      <c r="F1086" s="7" t="s">
        <v>14</v>
      </c>
      <c r="G1086" s="7">
        <v>5855.9025</v>
      </c>
      <c r="H1086" s="3"/>
    </row>
    <row r="1087" ht="14.25" customHeight="1">
      <c r="A1087" s="7">
        <v>32.0</v>
      </c>
      <c r="B1087" s="7" t="s">
        <v>11</v>
      </c>
      <c r="C1087" s="7">
        <v>31.5</v>
      </c>
      <c r="D1087" s="7">
        <v>1.0</v>
      </c>
      <c r="E1087" s="7" t="s">
        <v>12</v>
      </c>
      <c r="F1087" s="7" t="s">
        <v>10</v>
      </c>
      <c r="G1087" s="7">
        <v>4076.497</v>
      </c>
      <c r="H1087" s="3"/>
    </row>
    <row r="1088" ht="14.25" customHeight="1">
      <c r="A1088" s="7">
        <v>62.0</v>
      </c>
      <c r="B1088" s="7" t="s">
        <v>8</v>
      </c>
      <c r="C1088" s="7">
        <v>30.495</v>
      </c>
      <c r="D1088" s="7">
        <v>2.0</v>
      </c>
      <c r="E1088" s="7" t="s">
        <v>12</v>
      </c>
      <c r="F1088" s="7" t="s">
        <v>14</v>
      </c>
      <c r="G1088" s="7">
        <v>15019.76005</v>
      </c>
      <c r="H1088" s="3"/>
    </row>
    <row r="1089" ht="14.25" customHeight="1">
      <c r="A1089" s="7">
        <v>39.0</v>
      </c>
      <c r="B1089" s="7" t="s">
        <v>8</v>
      </c>
      <c r="C1089" s="7">
        <v>18.3</v>
      </c>
      <c r="D1089" s="7">
        <v>5.0</v>
      </c>
      <c r="E1089" s="7" t="s">
        <v>9</v>
      </c>
      <c r="F1089" s="7" t="s">
        <v>10</v>
      </c>
      <c r="G1089" s="7">
        <v>19023.26</v>
      </c>
      <c r="H1089" s="3"/>
    </row>
    <row r="1090" ht="14.25" customHeight="1">
      <c r="A1090" s="7">
        <v>55.0</v>
      </c>
      <c r="B1090" s="7" t="s">
        <v>11</v>
      </c>
      <c r="C1090" s="7">
        <v>28.975</v>
      </c>
      <c r="D1090" s="7">
        <v>0.0</v>
      </c>
      <c r="E1090" s="7" t="s">
        <v>12</v>
      </c>
      <c r="F1090" s="7" t="s">
        <v>15</v>
      </c>
      <c r="G1090" s="7">
        <v>10796.35025</v>
      </c>
      <c r="H1090" s="3"/>
    </row>
    <row r="1091" ht="14.25" customHeight="1">
      <c r="A1091" s="7">
        <v>57.0</v>
      </c>
      <c r="B1091" s="7" t="s">
        <v>11</v>
      </c>
      <c r="C1091" s="7">
        <v>31.54</v>
      </c>
      <c r="D1091" s="7">
        <v>0.0</v>
      </c>
      <c r="E1091" s="7" t="s">
        <v>12</v>
      </c>
      <c r="F1091" s="7" t="s">
        <v>14</v>
      </c>
      <c r="G1091" s="7">
        <v>11353.2276</v>
      </c>
      <c r="H1091" s="3"/>
    </row>
    <row r="1092" ht="14.25" customHeight="1">
      <c r="A1092" s="7">
        <v>52.0</v>
      </c>
      <c r="B1092" s="7" t="s">
        <v>11</v>
      </c>
      <c r="C1092" s="7">
        <v>47.74</v>
      </c>
      <c r="D1092" s="7">
        <v>1.0</v>
      </c>
      <c r="E1092" s="7" t="s">
        <v>12</v>
      </c>
      <c r="F1092" s="7" t="s">
        <v>13</v>
      </c>
      <c r="G1092" s="7">
        <v>9748.9106</v>
      </c>
      <c r="H1092" s="3"/>
    </row>
    <row r="1093" ht="14.25" customHeight="1">
      <c r="A1093" s="7">
        <v>56.0</v>
      </c>
      <c r="B1093" s="7" t="s">
        <v>11</v>
      </c>
      <c r="C1093" s="7">
        <v>22.1</v>
      </c>
      <c r="D1093" s="7">
        <v>0.0</v>
      </c>
      <c r="E1093" s="7" t="s">
        <v>12</v>
      </c>
      <c r="F1093" s="7" t="s">
        <v>10</v>
      </c>
      <c r="G1093" s="7">
        <v>10577.087</v>
      </c>
      <c r="H1093" s="3"/>
    </row>
    <row r="1094" ht="14.25" customHeight="1">
      <c r="A1094" s="7">
        <v>47.0</v>
      </c>
      <c r="B1094" s="7" t="s">
        <v>11</v>
      </c>
      <c r="C1094" s="7">
        <v>36.19</v>
      </c>
      <c r="D1094" s="7">
        <v>0.0</v>
      </c>
      <c r="E1094" s="7" t="s">
        <v>9</v>
      </c>
      <c r="F1094" s="7" t="s">
        <v>13</v>
      </c>
      <c r="G1094" s="7">
        <v>41676.0811</v>
      </c>
      <c r="H1094" s="3"/>
    </row>
    <row r="1095" ht="14.25" customHeight="1">
      <c r="A1095" s="7">
        <v>55.0</v>
      </c>
      <c r="B1095" s="7" t="s">
        <v>8</v>
      </c>
      <c r="C1095" s="7">
        <v>29.83</v>
      </c>
      <c r="D1095" s="7">
        <v>0.0</v>
      </c>
      <c r="E1095" s="7" t="s">
        <v>12</v>
      </c>
      <c r="F1095" s="7" t="s">
        <v>15</v>
      </c>
      <c r="G1095" s="7">
        <v>11286.5387</v>
      </c>
      <c r="H1095" s="3"/>
    </row>
    <row r="1096" ht="14.25" customHeight="1">
      <c r="A1096" s="7">
        <v>23.0</v>
      </c>
      <c r="B1096" s="7" t="s">
        <v>11</v>
      </c>
      <c r="C1096" s="7">
        <v>32.7</v>
      </c>
      <c r="D1096" s="7">
        <v>3.0</v>
      </c>
      <c r="E1096" s="7" t="s">
        <v>12</v>
      </c>
      <c r="F1096" s="7" t="s">
        <v>10</v>
      </c>
      <c r="G1096" s="7">
        <v>3591.48</v>
      </c>
      <c r="H1096" s="3"/>
    </row>
    <row r="1097" ht="14.25" customHeight="1">
      <c r="A1097" s="7">
        <v>22.0</v>
      </c>
      <c r="B1097" s="7" t="s">
        <v>8</v>
      </c>
      <c r="C1097" s="7">
        <v>30.4</v>
      </c>
      <c r="D1097" s="7">
        <v>0.0</v>
      </c>
      <c r="E1097" s="7" t="s">
        <v>9</v>
      </c>
      <c r="F1097" s="7" t="s">
        <v>14</v>
      </c>
      <c r="G1097" s="7">
        <v>33907.548</v>
      </c>
      <c r="H1097" s="3"/>
    </row>
    <row r="1098" ht="14.25" customHeight="1">
      <c r="A1098" s="7">
        <v>50.0</v>
      </c>
      <c r="B1098" s="7" t="s">
        <v>8</v>
      </c>
      <c r="C1098" s="7">
        <v>33.7</v>
      </c>
      <c r="D1098" s="7">
        <v>4.0</v>
      </c>
      <c r="E1098" s="7" t="s">
        <v>12</v>
      </c>
      <c r="F1098" s="7" t="s">
        <v>10</v>
      </c>
      <c r="G1098" s="7">
        <v>11299.343</v>
      </c>
      <c r="H1098" s="3"/>
    </row>
    <row r="1099" ht="14.25" customHeight="1">
      <c r="A1099" s="7">
        <v>18.0</v>
      </c>
      <c r="B1099" s="7" t="s">
        <v>8</v>
      </c>
      <c r="C1099" s="7">
        <v>31.35</v>
      </c>
      <c r="D1099" s="7">
        <v>4.0</v>
      </c>
      <c r="E1099" s="7" t="s">
        <v>12</v>
      </c>
      <c r="F1099" s="7" t="s">
        <v>15</v>
      </c>
      <c r="G1099" s="7">
        <v>4561.1885</v>
      </c>
      <c r="H1099" s="3"/>
    </row>
    <row r="1100" ht="14.25" customHeight="1">
      <c r="A1100" s="7">
        <v>51.0</v>
      </c>
      <c r="B1100" s="7" t="s">
        <v>8</v>
      </c>
      <c r="C1100" s="7">
        <v>34.96</v>
      </c>
      <c r="D1100" s="7">
        <v>2.0</v>
      </c>
      <c r="E1100" s="7" t="s">
        <v>9</v>
      </c>
      <c r="F1100" s="7" t="s">
        <v>15</v>
      </c>
      <c r="G1100" s="7">
        <v>44641.1974</v>
      </c>
      <c r="H1100" s="3"/>
    </row>
    <row r="1101" ht="14.25" customHeight="1">
      <c r="A1101" s="7">
        <v>22.0</v>
      </c>
      <c r="B1101" s="7" t="s">
        <v>11</v>
      </c>
      <c r="C1101" s="7">
        <v>33.77</v>
      </c>
      <c r="D1101" s="7">
        <v>0.0</v>
      </c>
      <c r="E1101" s="7" t="s">
        <v>12</v>
      </c>
      <c r="F1101" s="7" t="s">
        <v>13</v>
      </c>
      <c r="G1101" s="7">
        <v>1674.6323</v>
      </c>
      <c r="H1101" s="3"/>
    </row>
    <row r="1102" ht="14.25" customHeight="1">
      <c r="A1102" s="7">
        <v>52.0</v>
      </c>
      <c r="B1102" s="7" t="s">
        <v>8</v>
      </c>
      <c r="C1102" s="7">
        <v>30.875</v>
      </c>
      <c r="D1102" s="7">
        <v>0.0</v>
      </c>
      <c r="E1102" s="7" t="s">
        <v>12</v>
      </c>
      <c r="F1102" s="7" t="s">
        <v>15</v>
      </c>
      <c r="G1102" s="7">
        <v>23045.56616</v>
      </c>
      <c r="H1102" s="3"/>
    </row>
    <row r="1103" ht="14.25" customHeight="1">
      <c r="A1103" s="7">
        <v>25.0</v>
      </c>
      <c r="B1103" s="7" t="s">
        <v>8</v>
      </c>
      <c r="C1103" s="7">
        <v>33.99</v>
      </c>
      <c r="D1103" s="7">
        <v>1.0</v>
      </c>
      <c r="E1103" s="7" t="s">
        <v>12</v>
      </c>
      <c r="F1103" s="7" t="s">
        <v>13</v>
      </c>
      <c r="G1103" s="7">
        <v>3227.1211</v>
      </c>
      <c r="H1103" s="3"/>
    </row>
    <row r="1104" ht="14.25" customHeight="1">
      <c r="A1104" s="7">
        <v>33.0</v>
      </c>
      <c r="B1104" s="7" t="s">
        <v>8</v>
      </c>
      <c r="C1104" s="7">
        <v>19.095</v>
      </c>
      <c r="D1104" s="7">
        <v>2.0</v>
      </c>
      <c r="E1104" s="7" t="s">
        <v>9</v>
      </c>
      <c r="F1104" s="7" t="s">
        <v>15</v>
      </c>
      <c r="G1104" s="7">
        <v>16776.30405</v>
      </c>
      <c r="H1104" s="3"/>
    </row>
    <row r="1105" ht="14.25" customHeight="1">
      <c r="A1105" s="7">
        <v>53.0</v>
      </c>
      <c r="B1105" s="7" t="s">
        <v>11</v>
      </c>
      <c r="C1105" s="7">
        <v>28.6</v>
      </c>
      <c r="D1105" s="7">
        <v>3.0</v>
      </c>
      <c r="E1105" s="7" t="s">
        <v>12</v>
      </c>
      <c r="F1105" s="7" t="s">
        <v>10</v>
      </c>
      <c r="G1105" s="7">
        <v>11253.421</v>
      </c>
      <c r="H1105" s="3"/>
    </row>
    <row r="1106" ht="14.25" customHeight="1">
      <c r="A1106" s="7">
        <v>29.0</v>
      </c>
      <c r="B1106" s="7" t="s">
        <v>11</v>
      </c>
      <c r="C1106" s="7">
        <v>38.94</v>
      </c>
      <c r="D1106" s="7">
        <v>1.0</v>
      </c>
      <c r="E1106" s="7" t="s">
        <v>12</v>
      </c>
      <c r="F1106" s="7" t="s">
        <v>13</v>
      </c>
      <c r="G1106" s="7">
        <v>3471.4096</v>
      </c>
      <c r="H1106" s="3"/>
    </row>
    <row r="1107" ht="14.25" customHeight="1">
      <c r="A1107" s="7">
        <v>58.0</v>
      </c>
      <c r="B1107" s="7" t="s">
        <v>11</v>
      </c>
      <c r="C1107" s="7">
        <v>36.08</v>
      </c>
      <c r="D1107" s="7">
        <v>0.0</v>
      </c>
      <c r="E1107" s="7" t="s">
        <v>12</v>
      </c>
      <c r="F1107" s="7" t="s">
        <v>13</v>
      </c>
      <c r="G1107" s="7">
        <v>11363.2832</v>
      </c>
      <c r="H1107" s="3"/>
    </row>
    <row r="1108" ht="14.25" customHeight="1">
      <c r="A1108" s="7">
        <v>37.0</v>
      </c>
      <c r="B1108" s="7" t="s">
        <v>11</v>
      </c>
      <c r="C1108" s="7">
        <v>29.8</v>
      </c>
      <c r="D1108" s="7">
        <v>0.0</v>
      </c>
      <c r="E1108" s="7" t="s">
        <v>12</v>
      </c>
      <c r="F1108" s="7" t="s">
        <v>10</v>
      </c>
      <c r="G1108" s="7">
        <v>20420.60465</v>
      </c>
      <c r="H1108" s="3"/>
    </row>
    <row r="1109" ht="14.25" customHeight="1">
      <c r="A1109" s="7">
        <v>54.0</v>
      </c>
      <c r="B1109" s="7" t="s">
        <v>8</v>
      </c>
      <c r="C1109" s="7">
        <v>31.24</v>
      </c>
      <c r="D1109" s="7">
        <v>0.0</v>
      </c>
      <c r="E1109" s="7" t="s">
        <v>12</v>
      </c>
      <c r="F1109" s="7" t="s">
        <v>13</v>
      </c>
      <c r="G1109" s="7">
        <v>10338.9316</v>
      </c>
      <c r="H1109" s="3"/>
    </row>
    <row r="1110" ht="14.25" customHeight="1">
      <c r="A1110" s="7">
        <v>49.0</v>
      </c>
      <c r="B1110" s="7" t="s">
        <v>8</v>
      </c>
      <c r="C1110" s="7">
        <v>29.925</v>
      </c>
      <c r="D1110" s="7">
        <v>0.0</v>
      </c>
      <c r="E1110" s="7" t="s">
        <v>12</v>
      </c>
      <c r="F1110" s="7" t="s">
        <v>14</v>
      </c>
      <c r="G1110" s="7">
        <v>8988.15875</v>
      </c>
      <c r="H1110" s="3"/>
    </row>
    <row r="1111" ht="14.25" customHeight="1">
      <c r="A1111" s="7">
        <v>50.0</v>
      </c>
      <c r="B1111" s="7" t="s">
        <v>8</v>
      </c>
      <c r="C1111" s="7">
        <v>26.22</v>
      </c>
      <c r="D1111" s="7">
        <v>2.0</v>
      </c>
      <c r="E1111" s="7" t="s">
        <v>12</v>
      </c>
      <c r="F1111" s="7" t="s">
        <v>14</v>
      </c>
      <c r="G1111" s="7">
        <v>10493.9458</v>
      </c>
      <c r="H1111" s="3"/>
    </row>
    <row r="1112" ht="14.25" customHeight="1">
      <c r="A1112" s="7">
        <v>26.0</v>
      </c>
      <c r="B1112" s="7" t="s">
        <v>11</v>
      </c>
      <c r="C1112" s="7">
        <v>30.0</v>
      </c>
      <c r="D1112" s="7">
        <v>1.0</v>
      </c>
      <c r="E1112" s="7" t="s">
        <v>12</v>
      </c>
      <c r="F1112" s="7" t="s">
        <v>10</v>
      </c>
      <c r="G1112" s="7">
        <v>2904.088</v>
      </c>
      <c r="H1112" s="3"/>
    </row>
    <row r="1113" ht="14.25" customHeight="1">
      <c r="A1113" s="7">
        <v>45.0</v>
      </c>
      <c r="B1113" s="7" t="s">
        <v>11</v>
      </c>
      <c r="C1113" s="7">
        <v>20.35</v>
      </c>
      <c r="D1113" s="7">
        <v>3.0</v>
      </c>
      <c r="E1113" s="7" t="s">
        <v>12</v>
      </c>
      <c r="F1113" s="7" t="s">
        <v>13</v>
      </c>
      <c r="G1113" s="7">
        <v>8605.3615</v>
      </c>
      <c r="H1113" s="3"/>
    </row>
    <row r="1114" ht="14.25" customHeight="1">
      <c r="A1114" s="7">
        <v>54.0</v>
      </c>
      <c r="B1114" s="7" t="s">
        <v>8</v>
      </c>
      <c r="C1114" s="7">
        <v>32.3</v>
      </c>
      <c r="D1114" s="7">
        <v>1.0</v>
      </c>
      <c r="E1114" s="7" t="s">
        <v>12</v>
      </c>
      <c r="F1114" s="7" t="s">
        <v>15</v>
      </c>
      <c r="G1114" s="7">
        <v>11512.405</v>
      </c>
      <c r="H1114" s="3"/>
    </row>
    <row r="1115" ht="14.25" customHeight="1">
      <c r="A1115" s="7">
        <v>38.0</v>
      </c>
      <c r="B1115" s="7" t="s">
        <v>11</v>
      </c>
      <c r="C1115" s="7">
        <v>38.39</v>
      </c>
      <c r="D1115" s="7">
        <v>3.0</v>
      </c>
      <c r="E1115" s="7" t="s">
        <v>9</v>
      </c>
      <c r="F1115" s="7" t="s">
        <v>13</v>
      </c>
      <c r="G1115" s="7">
        <v>41949.2441</v>
      </c>
      <c r="H1115" s="3"/>
    </row>
    <row r="1116" ht="14.25" customHeight="1">
      <c r="A1116" s="7">
        <v>48.0</v>
      </c>
      <c r="B1116" s="7" t="s">
        <v>8</v>
      </c>
      <c r="C1116" s="7">
        <v>25.85</v>
      </c>
      <c r="D1116" s="7">
        <v>3.0</v>
      </c>
      <c r="E1116" s="7" t="s">
        <v>9</v>
      </c>
      <c r="F1116" s="7" t="s">
        <v>13</v>
      </c>
      <c r="G1116" s="7">
        <v>24180.9335</v>
      </c>
      <c r="H1116" s="3"/>
    </row>
    <row r="1117" ht="14.25" customHeight="1">
      <c r="A1117" s="7">
        <v>28.0</v>
      </c>
      <c r="B1117" s="7" t="s">
        <v>8</v>
      </c>
      <c r="C1117" s="7">
        <v>26.315</v>
      </c>
      <c r="D1117" s="7">
        <v>3.0</v>
      </c>
      <c r="E1117" s="7" t="s">
        <v>12</v>
      </c>
      <c r="F1117" s="7" t="s">
        <v>14</v>
      </c>
      <c r="G1117" s="7">
        <v>5312.16985</v>
      </c>
      <c r="H1117" s="3"/>
    </row>
    <row r="1118" ht="14.25" customHeight="1">
      <c r="A1118" s="7">
        <v>23.0</v>
      </c>
      <c r="B1118" s="7" t="s">
        <v>11</v>
      </c>
      <c r="C1118" s="7">
        <v>24.51</v>
      </c>
      <c r="D1118" s="7">
        <v>0.0</v>
      </c>
      <c r="E1118" s="7" t="s">
        <v>12</v>
      </c>
      <c r="F1118" s="7" t="s">
        <v>15</v>
      </c>
      <c r="G1118" s="7">
        <v>2396.0959</v>
      </c>
      <c r="H1118" s="3"/>
    </row>
    <row r="1119" ht="14.25" customHeight="1">
      <c r="A1119" s="7">
        <v>55.0</v>
      </c>
      <c r="B1119" s="7" t="s">
        <v>11</v>
      </c>
      <c r="C1119" s="7">
        <v>32.67</v>
      </c>
      <c r="D1119" s="7">
        <v>1.0</v>
      </c>
      <c r="E1119" s="7" t="s">
        <v>12</v>
      </c>
      <c r="F1119" s="7" t="s">
        <v>13</v>
      </c>
      <c r="G1119" s="7">
        <v>10807.4863</v>
      </c>
      <c r="H1119" s="3"/>
    </row>
    <row r="1120" ht="14.25" customHeight="1">
      <c r="A1120" s="7">
        <v>41.0</v>
      </c>
      <c r="B1120" s="7" t="s">
        <v>11</v>
      </c>
      <c r="C1120" s="7">
        <v>29.64</v>
      </c>
      <c r="D1120" s="7">
        <v>5.0</v>
      </c>
      <c r="E1120" s="7" t="s">
        <v>12</v>
      </c>
      <c r="F1120" s="7" t="s">
        <v>15</v>
      </c>
      <c r="G1120" s="7">
        <v>9222.4026</v>
      </c>
      <c r="H1120" s="3"/>
    </row>
    <row r="1121" ht="14.25" customHeight="1">
      <c r="A1121" s="7">
        <v>25.0</v>
      </c>
      <c r="B1121" s="7" t="s">
        <v>11</v>
      </c>
      <c r="C1121" s="7">
        <v>33.33</v>
      </c>
      <c r="D1121" s="7">
        <v>2.0</v>
      </c>
      <c r="E1121" s="7" t="s">
        <v>9</v>
      </c>
      <c r="F1121" s="7" t="s">
        <v>13</v>
      </c>
      <c r="G1121" s="7">
        <v>36124.5737</v>
      </c>
      <c r="H1121" s="3"/>
    </row>
    <row r="1122" ht="14.25" customHeight="1">
      <c r="A1122" s="7">
        <v>33.0</v>
      </c>
      <c r="B1122" s="7" t="s">
        <v>11</v>
      </c>
      <c r="C1122" s="7">
        <v>35.75</v>
      </c>
      <c r="D1122" s="7">
        <v>1.0</v>
      </c>
      <c r="E1122" s="7" t="s">
        <v>9</v>
      </c>
      <c r="F1122" s="7" t="s">
        <v>13</v>
      </c>
      <c r="G1122" s="7">
        <v>38282.7495</v>
      </c>
      <c r="H1122" s="3"/>
    </row>
    <row r="1123" ht="14.25" customHeight="1">
      <c r="A1123" s="7">
        <v>30.0</v>
      </c>
      <c r="B1123" s="7" t="s">
        <v>8</v>
      </c>
      <c r="C1123" s="7">
        <v>19.95</v>
      </c>
      <c r="D1123" s="7">
        <v>3.0</v>
      </c>
      <c r="E1123" s="7" t="s">
        <v>12</v>
      </c>
      <c r="F1123" s="7" t="s">
        <v>14</v>
      </c>
      <c r="G1123" s="7">
        <v>5693.4305</v>
      </c>
      <c r="H1123" s="3"/>
    </row>
    <row r="1124" ht="14.25" customHeight="1">
      <c r="A1124" s="7">
        <v>23.0</v>
      </c>
      <c r="B1124" s="7" t="s">
        <v>8</v>
      </c>
      <c r="C1124" s="7">
        <v>31.4</v>
      </c>
      <c r="D1124" s="7">
        <v>0.0</v>
      </c>
      <c r="E1124" s="7" t="s">
        <v>9</v>
      </c>
      <c r="F1124" s="7" t="s">
        <v>10</v>
      </c>
      <c r="G1124" s="7">
        <v>34166.273</v>
      </c>
      <c r="H1124" s="3"/>
    </row>
    <row r="1125" ht="14.25" customHeight="1">
      <c r="A1125" s="7">
        <v>46.0</v>
      </c>
      <c r="B1125" s="7" t="s">
        <v>11</v>
      </c>
      <c r="C1125" s="7">
        <v>38.17</v>
      </c>
      <c r="D1125" s="7">
        <v>2.0</v>
      </c>
      <c r="E1125" s="7" t="s">
        <v>12</v>
      </c>
      <c r="F1125" s="7" t="s">
        <v>13</v>
      </c>
      <c r="G1125" s="7">
        <v>8347.1643</v>
      </c>
      <c r="H1125" s="3"/>
    </row>
    <row r="1126" ht="14.25" customHeight="1">
      <c r="A1126" s="7">
        <v>53.0</v>
      </c>
      <c r="B1126" s="7" t="s">
        <v>8</v>
      </c>
      <c r="C1126" s="7">
        <v>36.86</v>
      </c>
      <c r="D1126" s="7">
        <v>3.0</v>
      </c>
      <c r="E1126" s="7" t="s">
        <v>9</v>
      </c>
      <c r="F1126" s="7" t="s">
        <v>14</v>
      </c>
      <c r="G1126" s="7">
        <v>46661.4424</v>
      </c>
      <c r="H1126" s="3"/>
    </row>
    <row r="1127" ht="14.25" customHeight="1">
      <c r="A1127" s="7">
        <v>27.0</v>
      </c>
      <c r="B1127" s="7" t="s">
        <v>8</v>
      </c>
      <c r="C1127" s="7">
        <v>32.395</v>
      </c>
      <c r="D1127" s="7">
        <v>1.0</v>
      </c>
      <c r="E1127" s="7" t="s">
        <v>12</v>
      </c>
      <c r="F1127" s="7" t="s">
        <v>15</v>
      </c>
      <c r="G1127" s="7">
        <v>18903.49141</v>
      </c>
      <c r="H1127" s="3"/>
    </row>
    <row r="1128" ht="14.25" customHeight="1">
      <c r="A1128" s="7">
        <v>23.0</v>
      </c>
      <c r="B1128" s="7" t="s">
        <v>8</v>
      </c>
      <c r="C1128" s="7">
        <v>42.75</v>
      </c>
      <c r="D1128" s="7">
        <v>1.0</v>
      </c>
      <c r="E1128" s="7" t="s">
        <v>9</v>
      </c>
      <c r="F1128" s="7" t="s">
        <v>15</v>
      </c>
      <c r="G1128" s="7">
        <v>40904.1995</v>
      </c>
      <c r="H1128" s="3"/>
    </row>
    <row r="1129" ht="14.25" customHeight="1">
      <c r="A1129" s="7">
        <v>63.0</v>
      </c>
      <c r="B1129" s="7" t="s">
        <v>8</v>
      </c>
      <c r="C1129" s="7">
        <v>25.08</v>
      </c>
      <c r="D1129" s="7">
        <v>0.0</v>
      </c>
      <c r="E1129" s="7" t="s">
        <v>12</v>
      </c>
      <c r="F1129" s="7" t="s">
        <v>14</v>
      </c>
      <c r="G1129" s="7">
        <v>14254.6082</v>
      </c>
      <c r="H1129" s="3"/>
    </row>
    <row r="1130" ht="14.25" customHeight="1">
      <c r="A1130" s="7">
        <v>55.0</v>
      </c>
      <c r="B1130" s="7" t="s">
        <v>11</v>
      </c>
      <c r="C1130" s="7">
        <v>29.9</v>
      </c>
      <c r="D1130" s="7">
        <v>0.0</v>
      </c>
      <c r="E1130" s="7" t="s">
        <v>12</v>
      </c>
      <c r="F1130" s="7" t="s">
        <v>10</v>
      </c>
      <c r="G1130" s="7">
        <v>10214.636</v>
      </c>
      <c r="H1130" s="3"/>
    </row>
    <row r="1131" ht="14.25" customHeight="1">
      <c r="A1131" s="7">
        <v>35.0</v>
      </c>
      <c r="B1131" s="7" t="s">
        <v>8</v>
      </c>
      <c r="C1131" s="7">
        <v>35.86</v>
      </c>
      <c r="D1131" s="7">
        <v>2.0</v>
      </c>
      <c r="E1131" s="7" t="s">
        <v>12</v>
      </c>
      <c r="F1131" s="7" t="s">
        <v>13</v>
      </c>
      <c r="G1131" s="7">
        <v>5836.5204</v>
      </c>
      <c r="H1131" s="3"/>
    </row>
    <row r="1132" ht="14.25" customHeight="1">
      <c r="A1132" s="7">
        <v>34.0</v>
      </c>
      <c r="B1132" s="7" t="s">
        <v>11</v>
      </c>
      <c r="C1132" s="7">
        <v>32.8</v>
      </c>
      <c r="D1132" s="7">
        <v>1.0</v>
      </c>
      <c r="E1132" s="7" t="s">
        <v>12</v>
      </c>
      <c r="F1132" s="7" t="s">
        <v>10</v>
      </c>
      <c r="G1132" s="7">
        <v>14358.36437</v>
      </c>
      <c r="H1132" s="3"/>
    </row>
    <row r="1133" ht="14.25" customHeight="1">
      <c r="A1133" s="7">
        <v>19.0</v>
      </c>
      <c r="B1133" s="7" t="s">
        <v>8</v>
      </c>
      <c r="C1133" s="7">
        <v>18.6</v>
      </c>
      <c r="D1133" s="7">
        <v>0.0</v>
      </c>
      <c r="E1133" s="7" t="s">
        <v>12</v>
      </c>
      <c r="F1133" s="7" t="s">
        <v>10</v>
      </c>
      <c r="G1133" s="7">
        <v>1728.897</v>
      </c>
      <c r="H1133" s="3"/>
    </row>
    <row r="1134" ht="14.25" customHeight="1">
      <c r="A1134" s="7">
        <v>39.0</v>
      </c>
      <c r="B1134" s="7" t="s">
        <v>8</v>
      </c>
      <c r="C1134" s="7">
        <v>23.87</v>
      </c>
      <c r="D1134" s="7">
        <v>5.0</v>
      </c>
      <c r="E1134" s="7" t="s">
        <v>12</v>
      </c>
      <c r="F1134" s="7" t="s">
        <v>13</v>
      </c>
      <c r="G1134" s="7">
        <v>8582.3023</v>
      </c>
      <c r="H1134" s="3"/>
    </row>
    <row r="1135" ht="14.25" customHeight="1">
      <c r="A1135" s="7">
        <v>27.0</v>
      </c>
      <c r="B1135" s="7" t="s">
        <v>11</v>
      </c>
      <c r="C1135" s="7">
        <v>45.9</v>
      </c>
      <c r="D1135" s="7">
        <v>2.0</v>
      </c>
      <c r="E1135" s="7" t="s">
        <v>12</v>
      </c>
      <c r="F1135" s="7" t="s">
        <v>10</v>
      </c>
      <c r="G1135" s="7">
        <v>3693.428</v>
      </c>
      <c r="H1135" s="3"/>
    </row>
    <row r="1136" ht="14.25" customHeight="1">
      <c r="A1136" s="7">
        <v>57.0</v>
      </c>
      <c r="B1136" s="7" t="s">
        <v>11</v>
      </c>
      <c r="C1136" s="7">
        <v>40.28</v>
      </c>
      <c r="D1136" s="7">
        <v>0.0</v>
      </c>
      <c r="E1136" s="7" t="s">
        <v>12</v>
      </c>
      <c r="F1136" s="7" t="s">
        <v>15</v>
      </c>
      <c r="G1136" s="7">
        <v>20709.02034</v>
      </c>
      <c r="H1136" s="3"/>
    </row>
    <row r="1137" ht="14.25" customHeight="1">
      <c r="A1137" s="7">
        <v>52.0</v>
      </c>
      <c r="B1137" s="7" t="s">
        <v>8</v>
      </c>
      <c r="C1137" s="7">
        <v>18.335</v>
      </c>
      <c r="D1137" s="7">
        <v>0.0</v>
      </c>
      <c r="E1137" s="7" t="s">
        <v>12</v>
      </c>
      <c r="F1137" s="7" t="s">
        <v>14</v>
      </c>
      <c r="G1137" s="7">
        <v>9991.03765</v>
      </c>
      <c r="H1137" s="3"/>
    </row>
    <row r="1138" ht="14.25" customHeight="1">
      <c r="A1138" s="7">
        <v>28.0</v>
      </c>
      <c r="B1138" s="7" t="s">
        <v>11</v>
      </c>
      <c r="C1138" s="7">
        <v>33.82</v>
      </c>
      <c r="D1138" s="7">
        <v>0.0</v>
      </c>
      <c r="E1138" s="7" t="s">
        <v>12</v>
      </c>
      <c r="F1138" s="7" t="s">
        <v>14</v>
      </c>
      <c r="G1138" s="7">
        <v>19673.33573</v>
      </c>
      <c r="H1138" s="3"/>
    </row>
    <row r="1139" ht="14.25" customHeight="1">
      <c r="A1139" s="7">
        <v>50.0</v>
      </c>
      <c r="B1139" s="7" t="s">
        <v>8</v>
      </c>
      <c r="C1139" s="7">
        <v>28.12</v>
      </c>
      <c r="D1139" s="7">
        <v>3.0</v>
      </c>
      <c r="E1139" s="7" t="s">
        <v>12</v>
      </c>
      <c r="F1139" s="7" t="s">
        <v>14</v>
      </c>
      <c r="G1139" s="7">
        <v>11085.5868</v>
      </c>
      <c r="H1139" s="3"/>
    </row>
    <row r="1140" ht="14.25" customHeight="1">
      <c r="A1140" s="7">
        <v>44.0</v>
      </c>
      <c r="B1140" s="7" t="s">
        <v>8</v>
      </c>
      <c r="C1140" s="7">
        <v>25.0</v>
      </c>
      <c r="D1140" s="7">
        <v>1.0</v>
      </c>
      <c r="E1140" s="7" t="s">
        <v>12</v>
      </c>
      <c r="F1140" s="7" t="s">
        <v>10</v>
      </c>
      <c r="G1140" s="7">
        <v>7623.518</v>
      </c>
      <c r="H1140" s="3"/>
    </row>
    <row r="1141" ht="14.25" customHeight="1">
      <c r="A1141" s="7">
        <v>26.0</v>
      </c>
      <c r="B1141" s="7" t="s">
        <v>8</v>
      </c>
      <c r="C1141" s="7">
        <v>22.23</v>
      </c>
      <c r="D1141" s="7">
        <v>0.0</v>
      </c>
      <c r="E1141" s="7" t="s">
        <v>12</v>
      </c>
      <c r="F1141" s="7" t="s">
        <v>14</v>
      </c>
      <c r="G1141" s="7">
        <v>3176.2877</v>
      </c>
      <c r="H1141" s="3"/>
    </row>
    <row r="1142" ht="14.25" customHeight="1">
      <c r="A1142" s="7">
        <v>33.0</v>
      </c>
      <c r="B1142" s="7" t="s">
        <v>11</v>
      </c>
      <c r="C1142" s="7">
        <v>30.25</v>
      </c>
      <c r="D1142" s="7">
        <v>0.0</v>
      </c>
      <c r="E1142" s="7" t="s">
        <v>12</v>
      </c>
      <c r="F1142" s="7" t="s">
        <v>13</v>
      </c>
      <c r="G1142" s="7">
        <v>3704.3545</v>
      </c>
      <c r="H1142" s="3"/>
    </row>
    <row r="1143" ht="14.25" customHeight="1">
      <c r="A1143" s="7">
        <v>19.0</v>
      </c>
      <c r="B1143" s="7" t="s">
        <v>8</v>
      </c>
      <c r="C1143" s="7">
        <v>32.49</v>
      </c>
      <c r="D1143" s="7">
        <v>0.0</v>
      </c>
      <c r="E1143" s="7" t="s">
        <v>9</v>
      </c>
      <c r="F1143" s="7" t="s">
        <v>14</v>
      </c>
      <c r="G1143" s="7">
        <v>36898.73308</v>
      </c>
      <c r="H1143" s="3"/>
    </row>
    <row r="1144" ht="14.25" customHeight="1">
      <c r="A1144" s="7">
        <v>50.0</v>
      </c>
      <c r="B1144" s="7" t="s">
        <v>11</v>
      </c>
      <c r="C1144" s="7">
        <v>37.07</v>
      </c>
      <c r="D1144" s="7">
        <v>1.0</v>
      </c>
      <c r="E1144" s="7" t="s">
        <v>12</v>
      </c>
      <c r="F1144" s="7" t="s">
        <v>13</v>
      </c>
      <c r="G1144" s="7">
        <v>9048.0273</v>
      </c>
      <c r="H1144" s="3"/>
    </row>
    <row r="1145" ht="14.25" customHeight="1">
      <c r="A1145" s="7">
        <v>41.0</v>
      </c>
      <c r="B1145" s="7" t="s">
        <v>8</v>
      </c>
      <c r="C1145" s="7">
        <v>32.6</v>
      </c>
      <c r="D1145" s="7">
        <v>3.0</v>
      </c>
      <c r="E1145" s="7" t="s">
        <v>12</v>
      </c>
      <c r="F1145" s="7" t="s">
        <v>10</v>
      </c>
      <c r="G1145" s="7">
        <v>7954.517</v>
      </c>
      <c r="H1145" s="3"/>
    </row>
    <row r="1146" ht="14.25" customHeight="1">
      <c r="A1146" s="7">
        <v>52.0</v>
      </c>
      <c r="B1146" s="7" t="s">
        <v>8</v>
      </c>
      <c r="C1146" s="7">
        <v>24.86</v>
      </c>
      <c r="D1146" s="7">
        <v>0.0</v>
      </c>
      <c r="E1146" s="7" t="s">
        <v>12</v>
      </c>
      <c r="F1146" s="7" t="s">
        <v>13</v>
      </c>
      <c r="G1146" s="7">
        <v>27117.99378</v>
      </c>
      <c r="H1146" s="3"/>
    </row>
    <row r="1147" ht="14.25" customHeight="1">
      <c r="A1147" s="7">
        <v>39.0</v>
      </c>
      <c r="B1147" s="7" t="s">
        <v>11</v>
      </c>
      <c r="C1147" s="7">
        <v>32.34</v>
      </c>
      <c r="D1147" s="7">
        <v>2.0</v>
      </c>
      <c r="E1147" s="7" t="s">
        <v>12</v>
      </c>
      <c r="F1147" s="7" t="s">
        <v>13</v>
      </c>
      <c r="G1147" s="7">
        <v>6338.0756</v>
      </c>
      <c r="H1147" s="3"/>
    </row>
    <row r="1148" ht="14.25" customHeight="1">
      <c r="A1148" s="7">
        <v>50.0</v>
      </c>
      <c r="B1148" s="7" t="s">
        <v>11</v>
      </c>
      <c r="C1148" s="7">
        <v>32.3</v>
      </c>
      <c r="D1148" s="7">
        <v>2.0</v>
      </c>
      <c r="E1148" s="7" t="s">
        <v>12</v>
      </c>
      <c r="F1148" s="7" t="s">
        <v>10</v>
      </c>
      <c r="G1148" s="7">
        <v>9630.397</v>
      </c>
      <c r="H1148" s="3"/>
    </row>
    <row r="1149" ht="14.25" customHeight="1">
      <c r="A1149" s="7">
        <v>52.0</v>
      </c>
      <c r="B1149" s="7" t="s">
        <v>11</v>
      </c>
      <c r="C1149" s="7">
        <v>32.775</v>
      </c>
      <c r="D1149" s="7">
        <v>3.0</v>
      </c>
      <c r="E1149" s="7" t="s">
        <v>12</v>
      </c>
      <c r="F1149" s="7" t="s">
        <v>14</v>
      </c>
      <c r="G1149" s="7">
        <v>11289.10925</v>
      </c>
      <c r="H1149" s="3"/>
    </row>
    <row r="1150" ht="14.25" customHeight="1">
      <c r="A1150" s="7">
        <v>60.0</v>
      </c>
      <c r="B1150" s="7" t="s">
        <v>11</v>
      </c>
      <c r="C1150" s="7">
        <v>32.8</v>
      </c>
      <c r="D1150" s="7">
        <v>0.0</v>
      </c>
      <c r="E1150" s="7" t="s">
        <v>9</v>
      </c>
      <c r="F1150" s="7" t="s">
        <v>10</v>
      </c>
      <c r="G1150" s="7">
        <v>52590.82939</v>
      </c>
      <c r="H1150" s="3"/>
    </row>
    <row r="1151" ht="14.25" customHeight="1">
      <c r="A1151" s="7">
        <v>20.0</v>
      </c>
      <c r="B1151" s="7" t="s">
        <v>8</v>
      </c>
      <c r="C1151" s="7">
        <v>31.92</v>
      </c>
      <c r="D1151" s="7">
        <v>0.0</v>
      </c>
      <c r="E1151" s="7" t="s">
        <v>12</v>
      </c>
      <c r="F1151" s="7" t="s">
        <v>14</v>
      </c>
      <c r="G1151" s="7">
        <v>2261.5688</v>
      </c>
      <c r="H1151" s="3"/>
    </row>
    <row r="1152" ht="14.25" customHeight="1">
      <c r="A1152" s="7">
        <v>55.0</v>
      </c>
      <c r="B1152" s="7" t="s">
        <v>11</v>
      </c>
      <c r="C1152" s="7">
        <v>21.5</v>
      </c>
      <c r="D1152" s="7">
        <v>1.0</v>
      </c>
      <c r="E1152" s="7" t="s">
        <v>12</v>
      </c>
      <c r="F1152" s="7" t="s">
        <v>10</v>
      </c>
      <c r="G1152" s="7">
        <v>10791.96</v>
      </c>
      <c r="H1152" s="3"/>
    </row>
    <row r="1153" ht="14.25" customHeight="1">
      <c r="A1153" s="7">
        <v>42.0</v>
      </c>
      <c r="B1153" s="7" t="s">
        <v>11</v>
      </c>
      <c r="C1153" s="7">
        <v>34.1</v>
      </c>
      <c r="D1153" s="7">
        <v>0.0</v>
      </c>
      <c r="E1153" s="7" t="s">
        <v>12</v>
      </c>
      <c r="F1153" s="7" t="s">
        <v>10</v>
      </c>
      <c r="G1153" s="7">
        <v>5979.731</v>
      </c>
      <c r="H1153" s="3"/>
    </row>
    <row r="1154" ht="14.25" customHeight="1">
      <c r="A1154" s="7">
        <v>18.0</v>
      </c>
      <c r="B1154" s="7" t="s">
        <v>8</v>
      </c>
      <c r="C1154" s="7">
        <v>30.305</v>
      </c>
      <c r="D1154" s="7">
        <v>0.0</v>
      </c>
      <c r="E1154" s="7" t="s">
        <v>12</v>
      </c>
      <c r="F1154" s="7" t="s">
        <v>15</v>
      </c>
      <c r="G1154" s="7">
        <v>2203.73595</v>
      </c>
      <c r="H1154" s="3"/>
    </row>
    <row r="1155" ht="14.25" customHeight="1">
      <c r="A1155" s="7">
        <v>58.0</v>
      </c>
      <c r="B1155" s="7" t="s">
        <v>8</v>
      </c>
      <c r="C1155" s="7">
        <v>36.48</v>
      </c>
      <c r="D1155" s="7">
        <v>0.0</v>
      </c>
      <c r="E1155" s="7" t="s">
        <v>12</v>
      </c>
      <c r="F1155" s="7" t="s">
        <v>14</v>
      </c>
      <c r="G1155" s="7">
        <v>12235.8392</v>
      </c>
      <c r="H1155" s="3"/>
    </row>
    <row r="1156" ht="14.25" customHeight="1">
      <c r="A1156" s="7">
        <v>43.0</v>
      </c>
      <c r="B1156" s="7" t="s">
        <v>8</v>
      </c>
      <c r="C1156" s="7">
        <v>32.56</v>
      </c>
      <c r="D1156" s="7">
        <v>3.0</v>
      </c>
      <c r="E1156" s="7" t="s">
        <v>9</v>
      </c>
      <c r="F1156" s="7" t="s">
        <v>13</v>
      </c>
      <c r="G1156" s="7">
        <v>40941.2854</v>
      </c>
      <c r="H1156" s="3"/>
    </row>
    <row r="1157" ht="14.25" customHeight="1">
      <c r="A1157" s="7">
        <v>35.0</v>
      </c>
      <c r="B1157" s="7" t="s">
        <v>8</v>
      </c>
      <c r="C1157" s="7">
        <v>35.815</v>
      </c>
      <c r="D1157" s="7">
        <v>1.0</v>
      </c>
      <c r="E1157" s="7" t="s">
        <v>12</v>
      </c>
      <c r="F1157" s="7" t="s">
        <v>14</v>
      </c>
      <c r="G1157" s="7">
        <v>5630.45785</v>
      </c>
      <c r="H1157" s="3"/>
    </row>
    <row r="1158" ht="14.25" customHeight="1">
      <c r="A1158" s="7">
        <v>48.0</v>
      </c>
      <c r="B1158" s="7" t="s">
        <v>8</v>
      </c>
      <c r="C1158" s="7">
        <v>27.93</v>
      </c>
      <c r="D1158" s="7">
        <v>4.0</v>
      </c>
      <c r="E1158" s="7" t="s">
        <v>12</v>
      </c>
      <c r="F1158" s="7" t="s">
        <v>14</v>
      </c>
      <c r="G1158" s="7">
        <v>11015.1747</v>
      </c>
      <c r="H1158" s="3"/>
    </row>
    <row r="1159" ht="14.25" customHeight="1">
      <c r="A1159" s="7">
        <v>36.0</v>
      </c>
      <c r="B1159" s="7" t="s">
        <v>8</v>
      </c>
      <c r="C1159" s="7">
        <v>22.135</v>
      </c>
      <c r="D1159" s="7">
        <v>3.0</v>
      </c>
      <c r="E1159" s="7" t="s">
        <v>12</v>
      </c>
      <c r="F1159" s="7" t="s">
        <v>15</v>
      </c>
      <c r="G1159" s="7">
        <v>7228.21565</v>
      </c>
      <c r="H1159" s="3"/>
    </row>
    <row r="1160" ht="14.25" customHeight="1">
      <c r="A1160" s="7">
        <v>19.0</v>
      </c>
      <c r="B1160" s="7" t="s">
        <v>11</v>
      </c>
      <c r="C1160" s="7">
        <v>44.88</v>
      </c>
      <c r="D1160" s="7">
        <v>0.0</v>
      </c>
      <c r="E1160" s="7" t="s">
        <v>9</v>
      </c>
      <c r="F1160" s="7" t="s">
        <v>13</v>
      </c>
      <c r="G1160" s="7">
        <v>39722.7462</v>
      </c>
      <c r="H1160" s="3"/>
    </row>
    <row r="1161" ht="14.25" customHeight="1">
      <c r="A1161" s="7">
        <v>23.0</v>
      </c>
      <c r="B1161" s="7" t="s">
        <v>8</v>
      </c>
      <c r="C1161" s="7">
        <v>23.18</v>
      </c>
      <c r="D1161" s="7">
        <v>2.0</v>
      </c>
      <c r="E1161" s="7" t="s">
        <v>12</v>
      </c>
      <c r="F1161" s="7" t="s">
        <v>14</v>
      </c>
      <c r="G1161" s="7">
        <v>14426.07385</v>
      </c>
      <c r="H1161" s="3"/>
    </row>
    <row r="1162" ht="14.25" customHeight="1">
      <c r="A1162" s="7">
        <v>20.0</v>
      </c>
      <c r="B1162" s="7" t="s">
        <v>8</v>
      </c>
      <c r="C1162" s="7">
        <v>30.59</v>
      </c>
      <c r="D1162" s="7">
        <v>0.0</v>
      </c>
      <c r="E1162" s="7" t="s">
        <v>12</v>
      </c>
      <c r="F1162" s="7" t="s">
        <v>15</v>
      </c>
      <c r="G1162" s="7">
        <v>2459.7201</v>
      </c>
      <c r="H1162" s="3"/>
    </row>
    <row r="1163" ht="14.25" customHeight="1">
      <c r="A1163" s="7">
        <v>32.0</v>
      </c>
      <c r="B1163" s="7" t="s">
        <v>8</v>
      </c>
      <c r="C1163" s="7">
        <v>41.1</v>
      </c>
      <c r="D1163" s="7">
        <v>0.0</v>
      </c>
      <c r="E1163" s="7" t="s">
        <v>12</v>
      </c>
      <c r="F1163" s="7" t="s">
        <v>10</v>
      </c>
      <c r="G1163" s="7">
        <v>3989.841</v>
      </c>
      <c r="H1163" s="3"/>
    </row>
    <row r="1164" ht="14.25" customHeight="1">
      <c r="A1164" s="7">
        <v>43.0</v>
      </c>
      <c r="B1164" s="7" t="s">
        <v>8</v>
      </c>
      <c r="C1164" s="7">
        <v>34.58</v>
      </c>
      <c r="D1164" s="7">
        <v>1.0</v>
      </c>
      <c r="E1164" s="7" t="s">
        <v>12</v>
      </c>
      <c r="F1164" s="7" t="s">
        <v>14</v>
      </c>
      <c r="G1164" s="7">
        <v>7727.2532</v>
      </c>
      <c r="H1164" s="3"/>
    </row>
    <row r="1165" ht="14.25" customHeight="1">
      <c r="A1165" s="7">
        <v>34.0</v>
      </c>
      <c r="B1165" s="7" t="s">
        <v>11</v>
      </c>
      <c r="C1165" s="7">
        <v>42.13</v>
      </c>
      <c r="D1165" s="7">
        <v>2.0</v>
      </c>
      <c r="E1165" s="7" t="s">
        <v>12</v>
      </c>
      <c r="F1165" s="7" t="s">
        <v>13</v>
      </c>
      <c r="G1165" s="7">
        <v>5124.1887</v>
      </c>
      <c r="H1165" s="3"/>
    </row>
    <row r="1166" ht="14.25" customHeight="1">
      <c r="A1166" s="7">
        <v>30.0</v>
      </c>
      <c r="B1166" s="7" t="s">
        <v>11</v>
      </c>
      <c r="C1166" s="7">
        <v>38.83</v>
      </c>
      <c r="D1166" s="7">
        <v>1.0</v>
      </c>
      <c r="E1166" s="7" t="s">
        <v>12</v>
      </c>
      <c r="F1166" s="7" t="s">
        <v>13</v>
      </c>
      <c r="G1166" s="7">
        <v>18963.17192</v>
      </c>
      <c r="H1166" s="3"/>
    </row>
    <row r="1167" ht="14.25" customHeight="1">
      <c r="A1167" s="7">
        <v>18.0</v>
      </c>
      <c r="B1167" s="7" t="s">
        <v>8</v>
      </c>
      <c r="C1167" s="7">
        <v>28.215</v>
      </c>
      <c r="D1167" s="7">
        <v>0.0</v>
      </c>
      <c r="E1167" s="7" t="s">
        <v>12</v>
      </c>
      <c r="F1167" s="7" t="s">
        <v>15</v>
      </c>
      <c r="G1167" s="7">
        <v>2200.83085</v>
      </c>
      <c r="H1167" s="3"/>
    </row>
    <row r="1168" ht="14.25" customHeight="1">
      <c r="A1168" s="7">
        <v>41.0</v>
      </c>
      <c r="B1168" s="7" t="s">
        <v>8</v>
      </c>
      <c r="C1168" s="7">
        <v>28.31</v>
      </c>
      <c r="D1168" s="7">
        <v>1.0</v>
      </c>
      <c r="E1168" s="7" t="s">
        <v>12</v>
      </c>
      <c r="F1168" s="7" t="s">
        <v>14</v>
      </c>
      <c r="G1168" s="7">
        <v>7153.5539</v>
      </c>
      <c r="H1168" s="3"/>
    </row>
    <row r="1169" ht="14.25" customHeight="1">
      <c r="A1169" s="7">
        <v>35.0</v>
      </c>
      <c r="B1169" s="7" t="s">
        <v>8</v>
      </c>
      <c r="C1169" s="7">
        <v>26.125</v>
      </c>
      <c r="D1169" s="7">
        <v>0.0</v>
      </c>
      <c r="E1169" s="7" t="s">
        <v>12</v>
      </c>
      <c r="F1169" s="7" t="s">
        <v>15</v>
      </c>
      <c r="G1169" s="7">
        <v>5227.98875</v>
      </c>
      <c r="H1169" s="3"/>
    </row>
    <row r="1170" ht="14.25" customHeight="1">
      <c r="A1170" s="7">
        <v>57.0</v>
      </c>
      <c r="B1170" s="7" t="s">
        <v>11</v>
      </c>
      <c r="C1170" s="7">
        <v>40.37</v>
      </c>
      <c r="D1170" s="7">
        <v>0.0</v>
      </c>
      <c r="E1170" s="7" t="s">
        <v>12</v>
      </c>
      <c r="F1170" s="7" t="s">
        <v>13</v>
      </c>
      <c r="G1170" s="7">
        <v>10982.5013</v>
      </c>
      <c r="H1170" s="3"/>
    </row>
    <row r="1171" ht="14.25" customHeight="1">
      <c r="A1171" s="7">
        <v>29.0</v>
      </c>
      <c r="B1171" s="7" t="s">
        <v>8</v>
      </c>
      <c r="C1171" s="7">
        <v>24.6</v>
      </c>
      <c r="D1171" s="7">
        <v>2.0</v>
      </c>
      <c r="E1171" s="7" t="s">
        <v>12</v>
      </c>
      <c r="F1171" s="7" t="s">
        <v>10</v>
      </c>
      <c r="G1171" s="7">
        <v>4529.477</v>
      </c>
      <c r="H1171" s="3"/>
    </row>
    <row r="1172" ht="14.25" customHeight="1">
      <c r="A1172" s="7">
        <v>32.0</v>
      </c>
      <c r="B1172" s="7" t="s">
        <v>11</v>
      </c>
      <c r="C1172" s="7">
        <v>35.2</v>
      </c>
      <c r="D1172" s="7">
        <v>2.0</v>
      </c>
      <c r="E1172" s="7" t="s">
        <v>12</v>
      </c>
      <c r="F1172" s="7" t="s">
        <v>10</v>
      </c>
      <c r="G1172" s="7">
        <v>4670.64</v>
      </c>
      <c r="H1172" s="3"/>
    </row>
    <row r="1173" ht="14.25" customHeight="1">
      <c r="A1173" s="7">
        <v>37.0</v>
      </c>
      <c r="B1173" s="7" t="s">
        <v>8</v>
      </c>
      <c r="C1173" s="7">
        <v>34.105</v>
      </c>
      <c r="D1173" s="7">
        <v>1.0</v>
      </c>
      <c r="E1173" s="7" t="s">
        <v>12</v>
      </c>
      <c r="F1173" s="7" t="s">
        <v>14</v>
      </c>
      <c r="G1173" s="7">
        <v>6112.35295</v>
      </c>
      <c r="H1173" s="3"/>
    </row>
    <row r="1174" ht="14.25" customHeight="1">
      <c r="A1174" s="7">
        <v>18.0</v>
      </c>
      <c r="B1174" s="7" t="s">
        <v>11</v>
      </c>
      <c r="C1174" s="7">
        <v>27.36</v>
      </c>
      <c r="D1174" s="7">
        <v>1.0</v>
      </c>
      <c r="E1174" s="7" t="s">
        <v>9</v>
      </c>
      <c r="F1174" s="7" t="s">
        <v>15</v>
      </c>
      <c r="G1174" s="7">
        <v>17178.6824</v>
      </c>
      <c r="H1174" s="3"/>
    </row>
    <row r="1175" ht="14.25" customHeight="1">
      <c r="A1175" s="7">
        <v>43.0</v>
      </c>
      <c r="B1175" s="7" t="s">
        <v>8</v>
      </c>
      <c r="C1175" s="7">
        <v>26.7</v>
      </c>
      <c r="D1175" s="7">
        <v>2.0</v>
      </c>
      <c r="E1175" s="7" t="s">
        <v>9</v>
      </c>
      <c r="F1175" s="7" t="s">
        <v>10</v>
      </c>
      <c r="G1175" s="7">
        <v>22478.6</v>
      </c>
      <c r="H1175" s="3"/>
    </row>
    <row r="1176" ht="14.25" customHeight="1">
      <c r="A1176" s="7">
        <v>56.0</v>
      </c>
      <c r="B1176" s="7" t="s">
        <v>8</v>
      </c>
      <c r="C1176" s="7">
        <v>41.91</v>
      </c>
      <c r="D1176" s="7">
        <v>0.0</v>
      </c>
      <c r="E1176" s="7" t="s">
        <v>12</v>
      </c>
      <c r="F1176" s="7" t="s">
        <v>13</v>
      </c>
      <c r="G1176" s="7">
        <v>11093.6229</v>
      </c>
      <c r="H1176" s="3"/>
    </row>
    <row r="1177" ht="14.25" customHeight="1">
      <c r="A1177" s="7">
        <v>38.0</v>
      </c>
      <c r="B1177" s="7" t="s">
        <v>11</v>
      </c>
      <c r="C1177" s="7">
        <v>29.26</v>
      </c>
      <c r="D1177" s="7">
        <v>2.0</v>
      </c>
      <c r="E1177" s="7" t="s">
        <v>12</v>
      </c>
      <c r="F1177" s="7" t="s">
        <v>14</v>
      </c>
      <c r="G1177" s="7">
        <v>6457.8434</v>
      </c>
      <c r="H1177" s="3"/>
    </row>
    <row r="1178" ht="14.25" customHeight="1">
      <c r="A1178" s="7">
        <v>29.0</v>
      </c>
      <c r="B1178" s="7" t="s">
        <v>11</v>
      </c>
      <c r="C1178" s="7">
        <v>32.11</v>
      </c>
      <c r="D1178" s="7">
        <v>2.0</v>
      </c>
      <c r="E1178" s="7" t="s">
        <v>12</v>
      </c>
      <c r="F1178" s="7" t="s">
        <v>14</v>
      </c>
      <c r="G1178" s="7">
        <v>4433.9159</v>
      </c>
      <c r="H1178" s="3"/>
    </row>
    <row r="1179" ht="14.25" customHeight="1">
      <c r="A1179" s="7">
        <v>22.0</v>
      </c>
      <c r="B1179" s="7" t="s">
        <v>8</v>
      </c>
      <c r="C1179" s="7">
        <v>27.1</v>
      </c>
      <c r="D1179" s="7">
        <v>0.0</v>
      </c>
      <c r="E1179" s="7" t="s">
        <v>12</v>
      </c>
      <c r="F1179" s="7" t="s">
        <v>10</v>
      </c>
      <c r="G1179" s="7">
        <v>2154.361</v>
      </c>
      <c r="H1179" s="3"/>
    </row>
    <row r="1180" ht="14.25" customHeight="1">
      <c r="A1180" s="7">
        <v>52.0</v>
      </c>
      <c r="B1180" s="7" t="s">
        <v>8</v>
      </c>
      <c r="C1180" s="7">
        <v>24.13</v>
      </c>
      <c r="D1180" s="7">
        <v>1.0</v>
      </c>
      <c r="E1180" s="7" t="s">
        <v>9</v>
      </c>
      <c r="F1180" s="7" t="s">
        <v>14</v>
      </c>
      <c r="G1180" s="7">
        <v>23887.6627</v>
      </c>
      <c r="H1180" s="3"/>
    </row>
    <row r="1181" ht="14.25" customHeight="1">
      <c r="A1181" s="7">
        <v>40.0</v>
      </c>
      <c r="B1181" s="7" t="s">
        <v>8</v>
      </c>
      <c r="C1181" s="7">
        <v>27.4</v>
      </c>
      <c r="D1181" s="7">
        <v>1.0</v>
      </c>
      <c r="E1181" s="7" t="s">
        <v>12</v>
      </c>
      <c r="F1181" s="7" t="s">
        <v>10</v>
      </c>
      <c r="G1181" s="7">
        <v>6496.886</v>
      </c>
      <c r="H1181" s="3"/>
    </row>
    <row r="1182" ht="14.25" customHeight="1">
      <c r="A1182" s="7">
        <v>23.0</v>
      </c>
      <c r="B1182" s="7" t="s">
        <v>8</v>
      </c>
      <c r="C1182" s="7">
        <v>34.865</v>
      </c>
      <c r="D1182" s="7">
        <v>0.0</v>
      </c>
      <c r="E1182" s="7" t="s">
        <v>12</v>
      </c>
      <c r="F1182" s="7" t="s">
        <v>15</v>
      </c>
      <c r="G1182" s="7">
        <v>2899.48935</v>
      </c>
      <c r="H1182" s="3"/>
    </row>
    <row r="1183" ht="14.25" customHeight="1">
      <c r="A1183" s="7">
        <v>31.0</v>
      </c>
      <c r="B1183" s="7" t="s">
        <v>11</v>
      </c>
      <c r="C1183" s="7">
        <v>29.81</v>
      </c>
      <c r="D1183" s="7">
        <v>0.0</v>
      </c>
      <c r="E1183" s="7" t="s">
        <v>9</v>
      </c>
      <c r="F1183" s="7" t="s">
        <v>13</v>
      </c>
      <c r="G1183" s="7">
        <v>19350.3689</v>
      </c>
      <c r="H1183" s="3"/>
    </row>
    <row r="1184" ht="14.25" customHeight="1">
      <c r="A1184" s="7">
        <v>42.0</v>
      </c>
      <c r="B1184" s="7" t="s">
        <v>8</v>
      </c>
      <c r="C1184" s="7">
        <v>41.325</v>
      </c>
      <c r="D1184" s="7">
        <v>1.0</v>
      </c>
      <c r="E1184" s="7" t="s">
        <v>12</v>
      </c>
      <c r="F1184" s="7" t="s">
        <v>15</v>
      </c>
      <c r="G1184" s="7">
        <v>7650.77375</v>
      </c>
      <c r="H1184" s="3"/>
    </row>
    <row r="1185" ht="14.25" customHeight="1">
      <c r="A1185" s="7">
        <v>24.0</v>
      </c>
      <c r="B1185" s="7" t="s">
        <v>8</v>
      </c>
      <c r="C1185" s="7">
        <v>29.925</v>
      </c>
      <c r="D1185" s="7">
        <v>0.0</v>
      </c>
      <c r="E1185" s="7" t="s">
        <v>12</v>
      </c>
      <c r="F1185" s="7" t="s">
        <v>14</v>
      </c>
      <c r="G1185" s="7">
        <v>2850.68375</v>
      </c>
      <c r="H1185" s="3"/>
    </row>
    <row r="1186" ht="14.25" customHeight="1">
      <c r="A1186" s="7">
        <v>25.0</v>
      </c>
      <c r="B1186" s="7" t="s">
        <v>8</v>
      </c>
      <c r="C1186" s="7">
        <v>30.3</v>
      </c>
      <c r="D1186" s="7">
        <v>0.0</v>
      </c>
      <c r="E1186" s="7" t="s">
        <v>12</v>
      </c>
      <c r="F1186" s="7" t="s">
        <v>10</v>
      </c>
      <c r="G1186" s="7">
        <v>2632.992</v>
      </c>
      <c r="H1186" s="3"/>
    </row>
    <row r="1187" ht="14.25" customHeight="1">
      <c r="A1187" s="7">
        <v>48.0</v>
      </c>
      <c r="B1187" s="7" t="s">
        <v>8</v>
      </c>
      <c r="C1187" s="7">
        <v>27.36</v>
      </c>
      <c r="D1187" s="7">
        <v>1.0</v>
      </c>
      <c r="E1187" s="7" t="s">
        <v>12</v>
      </c>
      <c r="F1187" s="7" t="s">
        <v>15</v>
      </c>
      <c r="G1187" s="7">
        <v>9447.3824</v>
      </c>
      <c r="H1187" s="3"/>
    </row>
    <row r="1188" ht="14.25" customHeight="1">
      <c r="A1188" s="7">
        <v>23.0</v>
      </c>
      <c r="B1188" s="7" t="s">
        <v>8</v>
      </c>
      <c r="C1188" s="7">
        <v>28.49</v>
      </c>
      <c r="D1188" s="7">
        <v>1.0</v>
      </c>
      <c r="E1188" s="7" t="s">
        <v>9</v>
      </c>
      <c r="F1188" s="7" t="s">
        <v>13</v>
      </c>
      <c r="G1188" s="7">
        <v>18328.2381</v>
      </c>
      <c r="H1188" s="3"/>
    </row>
    <row r="1189" ht="14.25" customHeight="1">
      <c r="A1189" s="7">
        <v>45.0</v>
      </c>
      <c r="B1189" s="7" t="s">
        <v>11</v>
      </c>
      <c r="C1189" s="7">
        <v>23.56</v>
      </c>
      <c r="D1189" s="7">
        <v>2.0</v>
      </c>
      <c r="E1189" s="7" t="s">
        <v>12</v>
      </c>
      <c r="F1189" s="7" t="s">
        <v>15</v>
      </c>
      <c r="G1189" s="7">
        <v>8603.8234</v>
      </c>
      <c r="H1189" s="3"/>
    </row>
    <row r="1190" ht="14.25" customHeight="1">
      <c r="A1190" s="7">
        <v>20.0</v>
      </c>
      <c r="B1190" s="7" t="s">
        <v>11</v>
      </c>
      <c r="C1190" s="7">
        <v>35.625</v>
      </c>
      <c r="D1190" s="7">
        <v>3.0</v>
      </c>
      <c r="E1190" s="7" t="s">
        <v>9</v>
      </c>
      <c r="F1190" s="7" t="s">
        <v>14</v>
      </c>
      <c r="G1190" s="7">
        <v>37465.34375</v>
      </c>
      <c r="H1190" s="3"/>
    </row>
    <row r="1191" ht="14.25" customHeight="1">
      <c r="A1191" s="7">
        <v>62.0</v>
      </c>
      <c r="B1191" s="7" t="s">
        <v>8</v>
      </c>
      <c r="C1191" s="7">
        <v>32.68</v>
      </c>
      <c r="D1191" s="7">
        <v>0.0</v>
      </c>
      <c r="E1191" s="7" t="s">
        <v>12</v>
      </c>
      <c r="F1191" s="7" t="s">
        <v>14</v>
      </c>
      <c r="G1191" s="7">
        <v>13844.7972</v>
      </c>
      <c r="H1191" s="3"/>
    </row>
    <row r="1192" ht="14.25" customHeight="1">
      <c r="A1192" s="7">
        <v>43.0</v>
      </c>
      <c r="B1192" s="7" t="s">
        <v>8</v>
      </c>
      <c r="C1192" s="7">
        <v>25.27</v>
      </c>
      <c r="D1192" s="7">
        <v>1.0</v>
      </c>
      <c r="E1192" s="7" t="s">
        <v>9</v>
      </c>
      <c r="F1192" s="7" t="s">
        <v>15</v>
      </c>
      <c r="G1192" s="7">
        <v>21771.3423</v>
      </c>
      <c r="H1192" s="3"/>
    </row>
    <row r="1193" ht="14.25" customHeight="1">
      <c r="A1193" s="7">
        <v>23.0</v>
      </c>
      <c r="B1193" s="7" t="s">
        <v>8</v>
      </c>
      <c r="C1193" s="7">
        <v>28.0</v>
      </c>
      <c r="D1193" s="7">
        <v>0.0</v>
      </c>
      <c r="E1193" s="7" t="s">
        <v>12</v>
      </c>
      <c r="F1193" s="7" t="s">
        <v>10</v>
      </c>
      <c r="G1193" s="7">
        <v>13126.67745</v>
      </c>
      <c r="H1193" s="3"/>
    </row>
    <row r="1194" ht="14.25" customHeight="1">
      <c r="A1194" s="7">
        <v>31.0</v>
      </c>
      <c r="B1194" s="7" t="s">
        <v>8</v>
      </c>
      <c r="C1194" s="7">
        <v>32.775</v>
      </c>
      <c r="D1194" s="7">
        <v>2.0</v>
      </c>
      <c r="E1194" s="7" t="s">
        <v>12</v>
      </c>
      <c r="F1194" s="7" t="s">
        <v>14</v>
      </c>
      <c r="G1194" s="7">
        <v>5327.40025</v>
      </c>
      <c r="H1194" s="3"/>
    </row>
    <row r="1195" ht="14.25" customHeight="1">
      <c r="A1195" s="7">
        <v>41.0</v>
      </c>
      <c r="B1195" s="7" t="s">
        <v>8</v>
      </c>
      <c r="C1195" s="7">
        <v>21.755</v>
      </c>
      <c r="D1195" s="7">
        <v>1.0</v>
      </c>
      <c r="E1195" s="7" t="s">
        <v>12</v>
      </c>
      <c r="F1195" s="7" t="s">
        <v>15</v>
      </c>
      <c r="G1195" s="7">
        <v>13725.47184</v>
      </c>
      <c r="H1195" s="3"/>
    </row>
    <row r="1196" ht="14.25" customHeight="1">
      <c r="A1196" s="7">
        <v>58.0</v>
      </c>
      <c r="B1196" s="7" t="s">
        <v>8</v>
      </c>
      <c r="C1196" s="7">
        <v>32.395</v>
      </c>
      <c r="D1196" s="7">
        <v>1.0</v>
      </c>
      <c r="E1196" s="7" t="s">
        <v>12</v>
      </c>
      <c r="F1196" s="7" t="s">
        <v>15</v>
      </c>
      <c r="G1196" s="7">
        <v>13019.16105</v>
      </c>
      <c r="H1196" s="3"/>
    </row>
    <row r="1197" ht="14.25" customHeight="1">
      <c r="A1197" s="7">
        <v>48.0</v>
      </c>
      <c r="B1197" s="7" t="s">
        <v>8</v>
      </c>
      <c r="C1197" s="7">
        <v>36.575</v>
      </c>
      <c r="D1197" s="7">
        <v>0.0</v>
      </c>
      <c r="E1197" s="7" t="s">
        <v>12</v>
      </c>
      <c r="F1197" s="7" t="s">
        <v>14</v>
      </c>
      <c r="G1197" s="7">
        <v>8671.19125</v>
      </c>
      <c r="H1197" s="3"/>
    </row>
    <row r="1198" ht="14.25" customHeight="1">
      <c r="A1198" s="7">
        <v>31.0</v>
      </c>
      <c r="B1198" s="7" t="s">
        <v>8</v>
      </c>
      <c r="C1198" s="7">
        <v>21.755</v>
      </c>
      <c r="D1198" s="7">
        <v>0.0</v>
      </c>
      <c r="E1198" s="7" t="s">
        <v>12</v>
      </c>
      <c r="F1198" s="7" t="s">
        <v>14</v>
      </c>
      <c r="G1198" s="7">
        <v>4134.08245</v>
      </c>
      <c r="H1198" s="3"/>
    </row>
    <row r="1199" ht="14.25" customHeight="1">
      <c r="A1199" s="7">
        <v>19.0</v>
      </c>
      <c r="B1199" s="7" t="s">
        <v>8</v>
      </c>
      <c r="C1199" s="7">
        <v>27.93</v>
      </c>
      <c r="D1199" s="7">
        <v>3.0</v>
      </c>
      <c r="E1199" s="7" t="s">
        <v>12</v>
      </c>
      <c r="F1199" s="7" t="s">
        <v>14</v>
      </c>
      <c r="G1199" s="7">
        <v>18838.70366</v>
      </c>
      <c r="H1199" s="3"/>
    </row>
    <row r="1200" ht="14.25" customHeight="1">
      <c r="A1200" s="7">
        <v>19.0</v>
      </c>
      <c r="B1200" s="7" t="s">
        <v>8</v>
      </c>
      <c r="C1200" s="7">
        <v>30.02</v>
      </c>
      <c r="D1200" s="7">
        <v>0.0</v>
      </c>
      <c r="E1200" s="7" t="s">
        <v>9</v>
      </c>
      <c r="F1200" s="7" t="s">
        <v>14</v>
      </c>
      <c r="G1200" s="7">
        <v>33307.5508</v>
      </c>
      <c r="H1200" s="3"/>
    </row>
    <row r="1201" ht="14.25" customHeight="1">
      <c r="A1201" s="7">
        <v>41.0</v>
      </c>
      <c r="B1201" s="7" t="s">
        <v>11</v>
      </c>
      <c r="C1201" s="7">
        <v>33.55</v>
      </c>
      <c r="D1201" s="7">
        <v>0.0</v>
      </c>
      <c r="E1201" s="7" t="s">
        <v>12</v>
      </c>
      <c r="F1201" s="7" t="s">
        <v>13</v>
      </c>
      <c r="G1201" s="7">
        <v>5699.8375</v>
      </c>
      <c r="H1201" s="3"/>
    </row>
    <row r="1202" ht="14.25" customHeight="1">
      <c r="A1202" s="7">
        <v>40.0</v>
      </c>
      <c r="B1202" s="7" t="s">
        <v>11</v>
      </c>
      <c r="C1202" s="7">
        <v>29.355</v>
      </c>
      <c r="D1202" s="7">
        <v>1.0</v>
      </c>
      <c r="E1202" s="7" t="s">
        <v>12</v>
      </c>
      <c r="F1202" s="7" t="s">
        <v>14</v>
      </c>
      <c r="G1202" s="7">
        <v>6393.60345</v>
      </c>
      <c r="H1202" s="3"/>
    </row>
    <row r="1203" ht="14.25" customHeight="1">
      <c r="A1203" s="7">
        <v>31.0</v>
      </c>
      <c r="B1203" s="7" t="s">
        <v>8</v>
      </c>
      <c r="C1203" s="7">
        <v>25.8</v>
      </c>
      <c r="D1203" s="7">
        <v>2.0</v>
      </c>
      <c r="E1203" s="7" t="s">
        <v>12</v>
      </c>
      <c r="F1203" s="7" t="s">
        <v>10</v>
      </c>
      <c r="G1203" s="7">
        <v>4934.705</v>
      </c>
      <c r="H1203" s="3"/>
    </row>
    <row r="1204" ht="14.25" customHeight="1">
      <c r="A1204" s="7">
        <v>37.0</v>
      </c>
      <c r="B1204" s="7" t="s">
        <v>11</v>
      </c>
      <c r="C1204" s="7">
        <v>24.32</v>
      </c>
      <c r="D1204" s="7">
        <v>2.0</v>
      </c>
      <c r="E1204" s="7" t="s">
        <v>12</v>
      </c>
      <c r="F1204" s="7" t="s">
        <v>14</v>
      </c>
      <c r="G1204" s="7">
        <v>6198.7518</v>
      </c>
      <c r="H1204" s="3"/>
    </row>
    <row r="1205" ht="14.25" customHeight="1">
      <c r="A1205" s="7">
        <v>46.0</v>
      </c>
      <c r="B1205" s="7" t="s">
        <v>11</v>
      </c>
      <c r="C1205" s="7">
        <v>40.375</v>
      </c>
      <c r="D1205" s="7">
        <v>2.0</v>
      </c>
      <c r="E1205" s="7" t="s">
        <v>12</v>
      </c>
      <c r="F1205" s="7" t="s">
        <v>14</v>
      </c>
      <c r="G1205" s="7">
        <v>8733.22925</v>
      </c>
      <c r="H1205" s="3"/>
    </row>
    <row r="1206" ht="14.25" customHeight="1">
      <c r="A1206" s="7">
        <v>22.0</v>
      </c>
      <c r="B1206" s="7" t="s">
        <v>11</v>
      </c>
      <c r="C1206" s="7">
        <v>32.11</v>
      </c>
      <c r="D1206" s="7">
        <v>0.0</v>
      </c>
      <c r="E1206" s="7" t="s">
        <v>12</v>
      </c>
      <c r="F1206" s="7" t="s">
        <v>14</v>
      </c>
      <c r="G1206" s="7">
        <v>2055.3249</v>
      </c>
      <c r="H1206" s="3"/>
    </row>
    <row r="1207" ht="14.25" customHeight="1">
      <c r="A1207" s="7">
        <v>51.0</v>
      </c>
      <c r="B1207" s="7" t="s">
        <v>11</v>
      </c>
      <c r="C1207" s="7">
        <v>32.3</v>
      </c>
      <c r="D1207" s="7">
        <v>1.0</v>
      </c>
      <c r="E1207" s="7" t="s">
        <v>12</v>
      </c>
      <c r="F1207" s="7" t="s">
        <v>15</v>
      </c>
      <c r="G1207" s="7">
        <v>9964.06</v>
      </c>
      <c r="H1207" s="3"/>
    </row>
    <row r="1208" ht="14.25" customHeight="1">
      <c r="A1208" s="7">
        <v>18.0</v>
      </c>
      <c r="B1208" s="7" t="s">
        <v>8</v>
      </c>
      <c r="C1208" s="7">
        <v>27.28</v>
      </c>
      <c r="D1208" s="7">
        <v>3.0</v>
      </c>
      <c r="E1208" s="7" t="s">
        <v>9</v>
      </c>
      <c r="F1208" s="7" t="s">
        <v>13</v>
      </c>
      <c r="G1208" s="7">
        <v>18223.4512</v>
      </c>
      <c r="H1208" s="3"/>
    </row>
    <row r="1209" ht="14.25" customHeight="1">
      <c r="A1209" s="7">
        <v>35.0</v>
      </c>
      <c r="B1209" s="7" t="s">
        <v>11</v>
      </c>
      <c r="C1209" s="7">
        <v>17.86</v>
      </c>
      <c r="D1209" s="7">
        <v>1.0</v>
      </c>
      <c r="E1209" s="7" t="s">
        <v>12</v>
      </c>
      <c r="F1209" s="7" t="s">
        <v>14</v>
      </c>
      <c r="G1209" s="7">
        <v>5116.5004</v>
      </c>
      <c r="H1209" s="3"/>
    </row>
    <row r="1210" ht="14.25" customHeight="1">
      <c r="A1210" s="7">
        <v>59.0</v>
      </c>
      <c r="B1210" s="7" t="s">
        <v>8</v>
      </c>
      <c r="C1210" s="7">
        <v>34.8</v>
      </c>
      <c r="D1210" s="7">
        <v>2.0</v>
      </c>
      <c r="E1210" s="7" t="s">
        <v>12</v>
      </c>
      <c r="F1210" s="7" t="s">
        <v>10</v>
      </c>
      <c r="G1210" s="7">
        <v>36910.60803</v>
      </c>
      <c r="H1210" s="3"/>
    </row>
    <row r="1211" ht="14.25" customHeight="1">
      <c r="A1211" s="7">
        <v>36.0</v>
      </c>
      <c r="B1211" s="7" t="s">
        <v>11</v>
      </c>
      <c r="C1211" s="7">
        <v>33.4</v>
      </c>
      <c r="D1211" s="7">
        <v>2.0</v>
      </c>
      <c r="E1211" s="7" t="s">
        <v>9</v>
      </c>
      <c r="F1211" s="7" t="s">
        <v>10</v>
      </c>
      <c r="G1211" s="7">
        <v>38415.474</v>
      </c>
      <c r="H1211" s="3"/>
    </row>
    <row r="1212" ht="14.25" customHeight="1">
      <c r="A1212" s="7">
        <v>37.0</v>
      </c>
      <c r="B1212" s="7" t="s">
        <v>8</v>
      </c>
      <c r="C1212" s="7">
        <v>25.555</v>
      </c>
      <c r="D1212" s="7">
        <v>1.0</v>
      </c>
      <c r="E1212" s="7" t="s">
        <v>9</v>
      </c>
      <c r="F1212" s="7" t="s">
        <v>15</v>
      </c>
      <c r="G1212" s="7">
        <v>20296.86345</v>
      </c>
      <c r="H1212" s="3"/>
    </row>
    <row r="1213" ht="14.25" customHeight="1">
      <c r="A1213" s="7">
        <v>59.0</v>
      </c>
      <c r="B1213" s="7" t="s">
        <v>11</v>
      </c>
      <c r="C1213" s="7">
        <v>37.1</v>
      </c>
      <c r="D1213" s="7">
        <v>1.0</v>
      </c>
      <c r="E1213" s="7" t="s">
        <v>12</v>
      </c>
      <c r="F1213" s="7" t="s">
        <v>10</v>
      </c>
      <c r="G1213" s="7">
        <v>12347.172</v>
      </c>
      <c r="H1213" s="3"/>
    </row>
    <row r="1214" ht="14.25" customHeight="1">
      <c r="A1214" s="7">
        <v>36.0</v>
      </c>
      <c r="B1214" s="7" t="s">
        <v>11</v>
      </c>
      <c r="C1214" s="7">
        <v>30.875</v>
      </c>
      <c r="D1214" s="7">
        <v>1.0</v>
      </c>
      <c r="E1214" s="7" t="s">
        <v>12</v>
      </c>
      <c r="F1214" s="7" t="s">
        <v>14</v>
      </c>
      <c r="G1214" s="7">
        <v>5373.36425</v>
      </c>
      <c r="H1214" s="3"/>
    </row>
    <row r="1215" ht="14.25" customHeight="1">
      <c r="A1215" s="7">
        <v>39.0</v>
      </c>
      <c r="B1215" s="7" t="s">
        <v>11</v>
      </c>
      <c r="C1215" s="7">
        <v>34.1</v>
      </c>
      <c r="D1215" s="7">
        <v>2.0</v>
      </c>
      <c r="E1215" s="7" t="s">
        <v>12</v>
      </c>
      <c r="F1215" s="7" t="s">
        <v>13</v>
      </c>
      <c r="G1215" s="7">
        <v>23563.01618</v>
      </c>
      <c r="H1215" s="3"/>
    </row>
    <row r="1216" ht="14.25" customHeight="1">
      <c r="A1216" s="7">
        <v>18.0</v>
      </c>
      <c r="B1216" s="7" t="s">
        <v>11</v>
      </c>
      <c r="C1216" s="7">
        <v>21.47</v>
      </c>
      <c r="D1216" s="7">
        <v>0.0</v>
      </c>
      <c r="E1216" s="7" t="s">
        <v>12</v>
      </c>
      <c r="F1216" s="7" t="s">
        <v>15</v>
      </c>
      <c r="G1216" s="7">
        <v>1702.4553</v>
      </c>
      <c r="H1216" s="3"/>
    </row>
    <row r="1217" ht="14.25" customHeight="1">
      <c r="A1217" s="7">
        <v>52.0</v>
      </c>
      <c r="B1217" s="7" t="s">
        <v>8</v>
      </c>
      <c r="C1217" s="7">
        <v>33.3</v>
      </c>
      <c r="D1217" s="7">
        <v>2.0</v>
      </c>
      <c r="E1217" s="7" t="s">
        <v>12</v>
      </c>
      <c r="F1217" s="7" t="s">
        <v>10</v>
      </c>
      <c r="G1217" s="7">
        <v>10806.839</v>
      </c>
      <c r="H1217" s="3"/>
    </row>
    <row r="1218" ht="14.25" customHeight="1">
      <c r="A1218" s="7">
        <v>27.0</v>
      </c>
      <c r="B1218" s="7" t="s">
        <v>8</v>
      </c>
      <c r="C1218" s="7">
        <v>31.255</v>
      </c>
      <c r="D1218" s="7">
        <v>1.0</v>
      </c>
      <c r="E1218" s="7" t="s">
        <v>12</v>
      </c>
      <c r="F1218" s="7" t="s">
        <v>14</v>
      </c>
      <c r="G1218" s="7">
        <v>3956.07145</v>
      </c>
      <c r="H1218" s="3"/>
    </row>
    <row r="1219" ht="14.25" customHeight="1">
      <c r="A1219" s="7">
        <v>18.0</v>
      </c>
      <c r="B1219" s="7" t="s">
        <v>11</v>
      </c>
      <c r="C1219" s="7">
        <v>39.14</v>
      </c>
      <c r="D1219" s="7">
        <v>0.0</v>
      </c>
      <c r="E1219" s="7" t="s">
        <v>12</v>
      </c>
      <c r="F1219" s="7" t="s">
        <v>15</v>
      </c>
      <c r="G1219" s="7">
        <v>12890.05765</v>
      </c>
      <c r="H1219" s="3"/>
    </row>
    <row r="1220" ht="14.25" customHeight="1">
      <c r="A1220" s="7">
        <v>40.0</v>
      </c>
      <c r="B1220" s="7" t="s">
        <v>11</v>
      </c>
      <c r="C1220" s="7">
        <v>25.08</v>
      </c>
      <c r="D1220" s="7">
        <v>0.0</v>
      </c>
      <c r="E1220" s="7" t="s">
        <v>12</v>
      </c>
      <c r="F1220" s="7" t="s">
        <v>13</v>
      </c>
      <c r="G1220" s="7">
        <v>5415.6612</v>
      </c>
      <c r="H1220" s="3"/>
    </row>
    <row r="1221" ht="14.25" customHeight="1">
      <c r="A1221" s="7">
        <v>29.0</v>
      </c>
      <c r="B1221" s="7" t="s">
        <v>11</v>
      </c>
      <c r="C1221" s="7">
        <v>37.29</v>
      </c>
      <c r="D1221" s="7">
        <v>2.0</v>
      </c>
      <c r="E1221" s="7" t="s">
        <v>12</v>
      </c>
      <c r="F1221" s="7" t="s">
        <v>13</v>
      </c>
      <c r="G1221" s="7">
        <v>4058.1161</v>
      </c>
      <c r="H1221" s="3"/>
    </row>
    <row r="1222" ht="14.25" customHeight="1">
      <c r="A1222" s="7">
        <v>46.0</v>
      </c>
      <c r="B1222" s="7" t="s">
        <v>8</v>
      </c>
      <c r="C1222" s="7">
        <v>34.6</v>
      </c>
      <c r="D1222" s="7">
        <v>1.0</v>
      </c>
      <c r="E1222" s="7" t="s">
        <v>9</v>
      </c>
      <c r="F1222" s="7" t="s">
        <v>10</v>
      </c>
      <c r="G1222" s="7">
        <v>41661.602</v>
      </c>
      <c r="H1222" s="3"/>
    </row>
    <row r="1223" ht="14.25" customHeight="1">
      <c r="A1223" s="7">
        <v>38.0</v>
      </c>
      <c r="B1223" s="7" t="s">
        <v>8</v>
      </c>
      <c r="C1223" s="7">
        <v>30.21</v>
      </c>
      <c r="D1223" s="7">
        <v>3.0</v>
      </c>
      <c r="E1223" s="7" t="s">
        <v>12</v>
      </c>
      <c r="F1223" s="7" t="s">
        <v>14</v>
      </c>
      <c r="G1223" s="7">
        <v>7537.1639</v>
      </c>
      <c r="H1223" s="3"/>
    </row>
    <row r="1224" ht="14.25" customHeight="1">
      <c r="A1224" s="7">
        <v>30.0</v>
      </c>
      <c r="B1224" s="7" t="s">
        <v>8</v>
      </c>
      <c r="C1224" s="7">
        <v>21.945</v>
      </c>
      <c r="D1224" s="7">
        <v>1.0</v>
      </c>
      <c r="E1224" s="7" t="s">
        <v>12</v>
      </c>
      <c r="F1224" s="7" t="s">
        <v>15</v>
      </c>
      <c r="G1224" s="7">
        <v>4718.20355</v>
      </c>
      <c r="H1224" s="3"/>
    </row>
    <row r="1225" ht="14.25" customHeight="1">
      <c r="A1225" s="7">
        <v>40.0</v>
      </c>
      <c r="B1225" s="7" t="s">
        <v>11</v>
      </c>
      <c r="C1225" s="7">
        <v>24.97</v>
      </c>
      <c r="D1225" s="7">
        <v>2.0</v>
      </c>
      <c r="E1225" s="7" t="s">
        <v>12</v>
      </c>
      <c r="F1225" s="7" t="s">
        <v>13</v>
      </c>
      <c r="G1225" s="7">
        <v>6593.5083</v>
      </c>
      <c r="H1225" s="3"/>
    </row>
    <row r="1226" ht="14.25" customHeight="1">
      <c r="A1226" s="7">
        <v>50.0</v>
      </c>
      <c r="B1226" s="7" t="s">
        <v>11</v>
      </c>
      <c r="C1226" s="7">
        <v>25.3</v>
      </c>
      <c r="D1226" s="7">
        <v>0.0</v>
      </c>
      <c r="E1226" s="7" t="s">
        <v>12</v>
      </c>
      <c r="F1226" s="7" t="s">
        <v>13</v>
      </c>
      <c r="G1226" s="7">
        <v>8442.667</v>
      </c>
      <c r="H1226" s="3"/>
    </row>
    <row r="1227" ht="14.25" customHeight="1">
      <c r="A1227" s="7">
        <v>20.0</v>
      </c>
      <c r="B1227" s="7" t="s">
        <v>8</v>
      </c>
      <c r="C1227" s="7">
        <v>24.42</v>
      </c>
      <c r="D1227" s="7">
        <v>0.0</v>
      </c>
      <c r="E1227" s="7" t="s">
        <v>9</v>
      </c>
      <c r="F1227" s="7" t="s">
        <v>13</v>
      </c>
      <c r="G1227" s="7">
        <v>26125.67477</v>
      </c>
      <c r="H1227" s="3"/>
    </row>
    <row r="1228" ht="14.25" customHeight="1">
      <c r="A1228" s="7">
        <v>41.0</v>
      </c>
      <c r="B1228" s="7" t="s">
        <v>11</v>
      </c>
      <c r="C1228" s="7">
        <v>23.94</v>
      </c>
      <c r="D1228" s="7">
        <v>1.0</v>
      </c>
      <c r="E1228" s="7" t="s">
        <v>12</v>
      </c>
      <c r="F1228" s="7" t="s">
        <v>15</v>
      </c>
      <c r="G1228" s="7">
        <v>6858.4796</v>
      </c>
      <c r="H1228" s="3"/>
    </row>
    <row r="1229" ht="14.25" customHeight="1">
      <c r="A1229" s="7">
        <v>33.0</v>
      </c>
      <c r="B1229" s="7" t="s">
        <v>8</v>
      </c>
      <c r="C1229" s="7">
        <v>39.82</v>
      </c>
      <c r="D1229" s="7">
        <v>1.0</v>
      </c>
      <c r="E1229" s="7" t="s">
        <v>12</v>
      </c>
      <c r="F1229" s="7" t="s">
        <v>13</v>
      </c>
      <c r="G1229" s="7">
        <v>4795.6568</v>
      </c>
      <c r="H1229" s="3"/>
    </row>
    <row r="1230" ht="14.25" customHeight="1">
      <c r="A1230" s="7">
        <v>38.0</v>
      </c>
      <c r="B1230" s="7" t="s">
        <v>11</v>
      </c>
      <c r="C1230" s="7">
        <v>16.815</v>
      </c>
      <c r="D1230" s="7">
        <v>2.0</v>
      </c>
      <c r="E1230" s="7" t="s">
        <v>12</v>
      </c>
      <c r="F1230" s="7" t="s">
        <v>15</v>
      </c>
      <c r="G1230" s="7">
        <v>6640.54485</v>
      </c>
      <c r="H1230" s="3"/>
    </row>
    <row r="1231" ht="14.25" customHeight="1">
      <c r="A1231" s="7">
        <v>42.0</v>
      </c>
      <c r="B1231" s="7" t="s">
        <v>11</v>
      </c>
      <c r="C1231" s="7">
        <v>37.18</v>
      </c>
      <c r="D1231" s="7">
        <v>2.0</v>
      </c>
      <c r="E1231" s="7" t="s">
        <v>12</v>
      </c>
      <c r="F1231" s="7" t="s">
        <v>13</v>
      </c>
      <c r="G1231" s="7">
        <v>7162.0122</v>
      </c>
      <c r="H1231" s="3"/>
    </row>
    <row r="1232" ht="14.25" customHeight="1">
      <c r="A1232" s="7">
        <v>56.0</v>
      </c>
      <c r="B1232" s="7" t="s">
        <v>11</v>
      </c>
      <c r="C1232" s="7">
        <v>34.43</v>
      </c>
      <c r="D1232" s="7">
        <v>0.0</v>
      </c>
      <c r="E1232" s="7" t="s">
        <v>12</v>
      </c>
      <c r="F1232" s="7" t="s">
        <v>13</v>
      </c>
      <c r="G1232" s="7">
        <v>10594.2257</v>
      </c>
      <c r="H1232" s="3"/>
    </row>
    <row r="1233" ht="14.25" customHeight="1">
      <c r="A1233" s="7">
        <v>58.0</v>
      </c>
      <c r="B1233" s="7" t="s">
        <v>11</v>
      </c>
      <c r="C1233" s="7">
        <v>30.305</v>
      </c>
      <c r="D1233" s="7">
        <v>0.0</v>
      </c>
      <c r="E1233" s="7" t="s">
        <v>12</v>
      </c>
      <c r="F1233" s="7" t="s">
        <v>15</v>
      </c>
      <c r="G1233" s="7">
        <v>11938.25595</v>
      </c>
      <c r="H1233" s="3"/>
    </row>
    <row r="1234" ht="14.25" customHeight="1">
      <c r="A1234" s="7">
        <v>52.0</v>
      </c>
      <c r="B1234" s="7" t="s">
        <v>11</v>
      </c>
      <c r="C1234" s="7">
        <v>34.485</v>
      </c>
      <c r="D1234" s="7">
        <v>3.0</v>
      </c>
      <c r="E1234" s="7" t="s">
        <v>9</v>
      </c>
      <c r="F1234" s="7" t="s">
        <v>14</v>
      </c>
      <c r="G1234" s="7">
        <v>60021.39897</v>
      </c>
      <c r="H1234" s="3"/>
    </row>
    <row r="1235" ht="14.25" customHeight="1">
      <c r="A1235" s="7">
        <v>20.0</v>
      </c>
      <c r="B1235" s="7" t="s">
        <v>8</v>
      </c>
      <c r="C1235" s="7">
        <v>21.8</v>
      </c>
      <c r="D1235" s="7">
        <v>0.0</v>
      </c>
      <c r="E1235" s="7" t="s">
        <v>9</v>
      </c>
      <c r="F1235" s="7" t="s">
        <v>10</v>
      </c>
      <c r="G1235" s="7">
        <v>20167.33603</v>
      </c>
      <c r="H1235" s="3"/>
    </row>
    <row r="1236" ht="14.25" customHeight="1">
      <c r="A1236" s="7">
        <v>54.0</v>
      </c>
      <c r="B1236" s="7" t="s">
        <v>8</v>
      </c>
      <c r="C1236" s="7">
        <v>24.605</v>
      </c>
      <c r="D1236" s="7">
        <v>3.0</v>
      </c>
      <c r="E1236" s="7" t="s">
        <v>12</v>
      </c>
      <c r="F1236" s="7" t="s">
        <v>14</v>
      </c>
      <c r="G1236" s="7">
        <v>12479.70895</v>
      </c>
      <c r="H1236" s="3"/>
    </row>
    <row r="1237" ht="14.25" customHeight="1">
      <c r="A1237" s="7">
        <v>58.0</v>
      </c>
      <c r="B1237" s="7" t="s">
        <v>11</v>
      </c>
      <c r="C1237" s="7">
        <v>23.3</v>
      </c>
      <c r="D1237" s="7">
        <v>0.0</v>
      </c>
      <c r="E1237" s="7" t="s">
        <v>12</v>
      </c>
      <c r="F1237" s="7" t="s">
        <v>10</v>
      </c>
      <c r="G1237" s="7">
        <v>11345.519</v>
      </c>
      <c r="H1237" s="3"/>
    </row>
    <row r="1238" ht="14.25" customHeight="1">
      <c r="A1238" s="7">
        <v>45.0</v>
      </c>
      <c r="B1238" s="7" t="s">
        <v>8</v>
      </c>
      <c r="C1238" s="7">
        <v>27.83</v>
      </c>
      <c r="D1238" s="7">
        <v>2.0</v>
      </c>
      <c r="E1238" s="7" t="s">
        <v>12</v>
      </c>
      <c r="F1238" s="7" t="s">
        <v>13</v>
      </c>
      <c r="G1238" s="7">
        <v>8515.7587</v>
      </c>
      <c r="H1238" s="3"/>
    </row>
    <row r="1239" ht="14.25" customHeight="1">
      <c r="A1239" s="7">
        <v>26.0</v>
      </c>
      <c r="B1239" s="7" t="s">
        <v>11</v>
      </c>
      <c r="C1239" s="7">
        <v>31.065</v>
      </c>
      <c r="D1239" s="7">
        <v>0.0</v>
      </c>
      <c r="E1239" s="7" t="s">
        <v>12</v>
      </c>
      <c r="F1239" s="7" t="s">
        <v>14</v>
      </c>
      <c r="G1239" s="7">
        <v>2699.56835</v>
      </c>
      <c r="H1239" s="3"/>
    </row>
    <row r="1240" ht="14.25" customHeight="1">
      <c r="A1240" s="7">
        <v>63.0</v>
      </c>
      <c r="B1240" s="7" t="s">
        <v>8</v>
      </c>
      <c r="C1240" s="7">
        <v>21.66</v>
      </c>
      <c r="D1240" s="7">
        <v>0.0</v>
      </c>
      <c r="E1240" s="7" t="s">
        <v>12</v>
      </c>
      <c r="F1240" s="7" t="s">
        <v>15</v>
      </c>
      <c r="G1240" s="7">
        <v>14449.8544</v>
      </c>
      <c r="H1240" s="3"/>
    </row>
    <row r="1241" ht="14.25" customHeight="1">
      <c r="A1241" s="7">
        <v>58.0</v>
      </c>
      <c r="B1241" s="7" t="s">
        <v>8</v>
      </c>
      <c r="C1241" s="7">
        <v>28.215</v>
      </c>
      <c r="D1241" s="7">
        <v>0.0</v>
      </c>
      <c r="E1241" s="7" t="s">
        <v>12</v>
      </c>
      <c r="F1241" s="7" t="s">
        <v>14</v>
      </c>
      <c r="G1241" s="7">
        <v>12224.35085</v>
      </c>
      <c r="H1241" s="3"/>
    </row>
    <row r="1242" ht="14.25" customHeight="1">
      <c r="A1242" s="7">
        <v>37.0</v>
      </c>
      <c r="B1242" s="7" t="s">
        <v>11</v>
      </c>
      <c r="C1242" s="7">
        <v>22.705</v>
      </c>
      <c r="D1242" s="7">
        <v>3.0</v>
      </c>
      <c r="E1242" s="7" t="s">
        <v>12</v>
      </c>
      <c r="F1242" s="7" t="s">
        <v>15</v>
      </c>
      <c r="G1242" s="7">
        <v>6985.50695</v>
      </c>
      <c r="H1242" s="3"/>
    </row>
    <row r="1243" ht="14.25" customHeight="1">
      <c r="A1243" s="7">
        <v>25.0</v>
      </c>
      <c r="B1243" s="7" t="s">
        <v>8</v>
      </c>
      <c r="C1243" s="7">
        <v>42.13</v>
      </c>
      <c r="D1243" s="7">
        <v>1.0</v>
      </c>
      <c r="E1243" s="7" t="s">
        <v>12</v>
      </c>
      <c r="F1243" s="7" t="s">
        <v>13</v>
      </c>
      <c r="G1243" s="7">
        <v>3238.4357</v>
      </c>
      <c r="H1243" s="3"/>
    </row>
    <row r="1244" ht="14.25" customHeight="1">
      <c r="A1244" s="7">
        <v>52.0</v>
      </c>
      <c r="B1244" s="7" t="s">
        <v>11</v>
      </c>
      <c r="C1244" s="7">
        <v>41.8</v>
      </c>
      <c r="D1244" s="7">
        <v>2.0</v>
      </c>
      <c r="E1244" s="7" t="s">
        <v>9</v>
      </c>
      <c r="F1244" s="7" t="s">
        <v>13</v>
      </c>
      <c r="G1244" s="7">
        <v>47269.854</v>
      </c>
      <c r="H1244" s="3"/>
    </row>
    <row r="1245" ht="14.25" customHeight="1">
      <c r="A1245" s="7">
        <v>64.0</v>
      </c>
      <c r="B1245" s="7" t="s">
        <v>11</v>
      </c>
      <c r="C1245" s="7">
        <v>36.96</v>
      </c>
      <c r="D1245" s="7">
        <v>2.0</v>
      </c>
      <c r="E1245" s="7" t="s">
        <v>9</v>
      </c>
      <c r="F1245" s="7" t="s">
        <v>13</v>
      </c>
      <c r="G1245" s="7">
        <v>49577.6624</v>
      </c>
      <c r="H1245" s="3"/>
    </row>
    <row r="1246" ht="14.25" customHeight="1">
      <c r="A1246" s="7">
        <v>22.0</v>
      </c>
      <c r="B1246" s="7" t="s">
        <v>8</v>
      </c>
      <c r="C1246" s="7">
        <v>21.28</v>
      </c>
      <c r="D1246" s="7">
        <v>3.0</v>
      </c>
      <c r="E1246" s="7" t="s">
        <v>12</v>
      </c>
      <c r="F1246" s="7" t="s">
        <v>14</v>
      </c>
      <c r="G1246" s="7">
        <v>4296.2712</v>
      </c>
      <c r="H1246" s="3"/>
    </row>
    <row r="1247" ht="14.25" customHeight="1">
      <c r="A1247" s="7">
        <v>28.0</v>
      </c>
      <c r="B1247" s="7" t="s">
        <v>8</v>
      </c>
      <c r="C1247" s="7">
        <v>33.11</v>
      </c>
      <c r="D1247" s="7">
        <v>0.0</v>
      </c>
      <c r="E1247" s="7" t="s">
        <v>12</v>
      </c>
      <c r="F1247" s="7" t="s">
        <v>13</v>
      </c>
      <c r="G1247" s="7">
        <v>3171.6149</v>
      </c>
      <c r="H1247" s="3"/>
    </row>
    <row r="1248" ht="14.25" customHeight="1">
      <c r="A1248" s="7">
        <v>18.0</v>
      </c>
      <c r="B1248" s="7" t="s">
        <v>11</v>
      </c>
      <c r="C1248" s="7">
        <v>33.33</v>
      </c>
      <c r="D1248" s="7">
        <v>0.0</v>
      </c>
      <c r="E1248" s="7" t="s">
        <v>12</v>
      </c>
      <c r="F1248" s="7" t="s">
        <v>13</v>
      </c>
      <c r="G1248" s="7">
        <v>1135.9407</v>
      </c>
      <c r="H1248" s="3"/>
    </row>
    <row r="1249" ht="14.25" customHeight="1">
      <c r="A1249" s="7">
        <v>28.0</v>
      </c>
      <c r="B1249" s="7" t="s">
        <v>11</v>
      </c>
      <c r="C1249" s="7">
        <v>24.3</v>
      </c>
      <c r="D1249" s="7">
        <v>5.0</v>
      </c>
      <c r="E1249" s="7" t="s">
        <v>12</v>
      </c>
      <c r="F1249" s="7" t="s">
        <v>10</v>
      </c>
      <c r="G1249" s="7">
        <v>5615.369</v>
      </c>
      <c r="H1249" s="3"/>
    </row>
    <row r="1250" ht="14.25" customHeight="1">
      <c r="A1250" s="7">
        <v>45.0</v>
      </c>
      <c r="B1250" s="7" t="s">
        <v>8</v>
      </c>
      <c r="C1250" s="7">
        <v>25.7</v>
      </c>
      <c r="D1250" s="7">
        <v>3.0</v>
      </c>
      <c r="E1250" s="7" t="s">
        <v>12</v>
      </c>
      <c r="F1250" s="7" t="s">
        <v>10</v>
      </c>
      <c r="G1250" s="7">
        <v>9101.798</v>
      </c>
      <c r="H1250" s="3"/>
    </row>
    <row r="1251" ht="14.25" customHeight="1">
      <c r="A1251" s="7">
        <v>33.0</v>
      </c>
      <c r="B1251" s="7" t="s">
        <v>11</v>
      </c>
      <c r="C1251" s="7">
        <v>29.4</v>
      </c>
      <c r="D1251" s="7">
        <v>4.0</v>
      </c>
      <c r="E1251" s="7" t="s">
        <v>12</v>
      </c>
      <c r="F1251" s="7" t="s">
        <v>10</v>
      </c>
      <c r="G1251" s="7">
        <v>6059.173</v>
      </c>
      <c r="H1251" s="3"/>
    </row>
    <row r="1252" ht="14.25" customHeight="1">
      <c r="A1252" s="7">
        <v>18.0</v>
      </c>
      <c r="B1252" s="7" t="s">
        <v>8</v>
      </c>
      <c r="C1252" s="7">
        <v>39.82</v>
      </c>
      <c r="D1252" s="7">
        <v>0.0</v>
      </c>
      <c r="E1252" s="7" t="s">
        <v>12</v>
      </c>
      <c r="F1252" s="7" t="s">
        <v>13</v>
      </c>
      <c r="G1252" s="7">
        <v>1633.9618</v>
      </c>
      <c r="H1252" s="3"/>
    </row>
    <row r="1253" ht="14.25" customHeight="1">
      <c r="A1253" s="7">
        <v>32.0</v>
      </c>
      <c r="B1253" s="7" t="s">
        <v>11</v>
      </c>
      <c r="C1253" s="7">
        <v>33.63</v>
      </c>
      <c r="D1253" s="7">
        <v>1.0</v>
      </c>
      <c r="E1253" s="7" t="s">
        <v>9</v>
      </c>
      <c r="F1253" s="7" t="s">
        <v>15</v>
      </c>
      <c r="G1253" s="7">
        <v>37607.5277</v>
      </c>
      <c r="H1253" s="3"/>
    </row>
    <row r="1254" ht="14.25" customHeight="1">
      <c r="A1254" s="7">
        <v>24.0</v>
      </c>
      <c r="B1254" s="7" t="s">
        <v>11</v>
      </c>
      <c r="C1254" s="7">
        <v>29.83</v>
      </c>
      <c r="D1254" s="7">
        <v>0.0</v>
      </c>
      <c r="E1254" s="7" t="s">
        <v>9</v>
      </c>
      <c r="F1254" s="7" t="s">
        <v>15</v>
      </c>
      <c r="G1254" s="7">
        <v>18648.4217</v>
      </c>
      <c r="H1254" s="3"/>
    </row>
    <row r="1255" ht="14.25" customHeight="1">
      <c r="A1255" s="7">
        <v>19.0</v>
      </c>
      <c r="B1255" s="7" t="s">
        <v>11</v>
      </c>
      <c r="C1255" s="7">
        <v>19.8</v>
      </c>
      <c r="D1255" s="7">
        <v>0.0</v>
      </c>
      <c r="E1255" s="7" t="s">
        <v>12</v>
      </c>
      <c r="F1255" s="7" t="s">
        <v>10</v>
      </c>
      <c r="G1255" s="7">
        <v>1241.565</v>
      </c>
      <c r="H1255" s="3"/>
    </row>
    <row r="1256" ht="14.25" customHeight="1">
      <c r="A1256" s="7">
        <v>20.0</v>
      </c>
      <c r="B1256" s="7" t="s">
        <v>11</v>
      </c>
      <c r="C1256" s="7">
        <v>27.3</v>
      </c>
      <c r="D1256" s="7">
        <v>0.0</v>
      </c>
      <c r="E1256" s="7" t="s">
        <v>9</v>
      </c>
      <c r="F1256" s="7" t="s">
        <v>10</v>
      </c>
      <c r="G1256" s="7">
        <v>16232.847</v>
      </c>
      <c r="H1256" s="3"/>
    </row>
    <row r="1257" ht="14.25" customHeight="1">
      <c r="A1257" s="7">
        <v>40.0</v>
      </c>
      <c r="B1257" s="7" t="s">
        <v>8</v>
      </c>
      <c r="C1257" s="7">
        <v>29.3</v>
      </c>
      <c r="D1257" s="7">
        <v>4.0</v>
      </c>
      <c r="E1257" s="7" t="s">
        <v>12</v>
      </c>
      <c r="F1257" s="7" t="s">
        <v>10</v>
      </c>
      <c r="G1257" s="7">
        <v>15828.82173</v>
      </c>
      <c r="H1257" s="3"/>
    </row>
    <row r="1258" ht="14.25" customHeight="1">
      <c r="A1258" s="7">
        <v>34.0</v>
      </c>
      <c r="B1258" s="7" t="s">
        <v>8</v>
      </c>
      <c r="C1258" s="7">
        <v>27.72</v>
      </c>
      <c r="D1258" s="7">
        <v>0.0</v>
      </c>
      <c r="E1258" s="7" t="s">
        <v>12</v>
      </c>
      <c r="F1258" s="7" t="s">
        <v>13</v>
      </c>
      <c r="G1258" s="7">
        <v>4415.1588</v>
      </c>
      <c r="H1258" s="3"/>
    </row>
    <row r="1259" ht="14.25" customHeight="1">
      <c r="A1259" s="7">
        <v>42.0</v>
      </c>
      <c r="B1259" s="7" t="s">
        <v>8</v>
      </c>
      <c r="C1259" s="7">
        <v>37.9</v>
      </c>
      <c r="D1259" s="7">
        <v>0.0</v>
      </c>
      <c r="E1259" s="7" t="s">
        <v>12</v>
      </c>
      <c r="F1259" s="7" t="s">
        <v>10</v>
      </c>
      <c r="G1259" s="7">
        <v>6474.013</v>
      </c>
      <c r="H1259" s="3"/>
    </row>
    <row r="1260" ht="14.25" customHeight="1">
      <c r="A1260" s="7">
        <v>51.0</v>
      </c>
      <c r="B1260" s="7" t="s">
        <v>8</v>
      </c>
      <c r="C1260" s="7">
        <v>36.385</v>
      </c>
      <c r="D1260" s="7">
        <v>3.0</v>
      </c>
      <c r="E1260" s="7" t="s">
        <v>12</v>
      </c>
      <c r="F1260" s="7" t="s">
        <v>14</v>
      </c>
      <c r="G1260" s="7">
        <v>11436.73815</v>
      </c>
      <c r="H1260" s="3"/>
    </row>
    <row r="1261" ht="14.25" customHeight="1">
      <c r="A1261" s="7">
        <v>54.0</v>
      </c>
      <c r="B1261" s="7" t="s">
        <v>8</v>
      </c>
      <c r="C1261" s="7">
        <v>27.645</v>
      </c>
      <c r="D1261" s="7">
        <v>1.0</v>
      </c>
      <c r="E1261" s="7" t="s">
        <v>12</v>
      </c>
      <c r="F1261" s="7" t="s">
        <v>14</v>
      </c>
      <c r="G1261" s="7">
        <v>11305.93455</v>
      </c>
      <c r="H1261" s="3"/>
    </row>
    <row r="1262" ht="14.25" customHeight="1">
      <c r="A1262" s="7">
        <v>55.0</v>
      </c>
      <c r="B1262" s="7" t="s">
        <v>11</v>
      </c>
      <c r="C1262" s="7">
        <v>37.715</v>
      </c>
      <c r="D1262" s="7">
        <v>3.0</v>
      </c>
      <c r="E1262" s="7" t="s">
        <v>12</v>
      </c>
      <c r="F1262" s="7" t="s">
        <v>14</v>
      </c>
      <c r="G1262" s="7">
        <v>30063.58055</v>
      </c>
      <c r="H1262" s="3"/>
    </row>
    <row r="1263" ht="14.25" customHeight="1">
      <c r="A1263" s="7">
        <v>52.0</v>
      </c>
      <c r="B1263" s="7" t="s">
        <v>8</v>
      </c>
      <c r="C1263" s="7">
        <v>23.18</v>
      </c>
      <c r="D1263" s="7">
        <v>0.0</v>
      </c>
      <c r="E1263" s="7" t="s">
        <v>12</v>
      </c>
      <c r="F1263" s="7" t="s">
        <v>15</v>
      </c>
      <c r="G1263" s="7">
        <v>10197.7722</v>
      </c>
      <c r="H1263" s="3"/>
    </row>
    <row r="1264" ht="14.25" customHeight="1">
      <c r="A1264" s="7">
        <v>32.0</v>
      </c>
      <c r="B1264" s="7" t="s">
        <v>8</v>
      </c>
      <c r="C1264" s="7">
        <v>20.52</v>
      </c>
      <c r="D1264" s="7">
        <v>0.0</v>
      </c>
      <c r="E1264" s="7" t="s">
        <v>12</v>
      </c>
      <c r="F1264" s="7" t="s">
        <v>15</v>
      </c>
      <c r="G1264" s="7">
        <v>4544.2348</v>
      </c>
      <c r="H1264" s="3"/>
    </row>
    <row r="1265" ht="14.25" customHeight="1">
      <c r="A1265" s="7">
        <v>28.0</v>
      </c>
      <c r="B1265" s="7" t="s">
        <v>11</v>
      </c>
      <c r="C1265" s="7">
        <v>37.1</v>
      </c>
      <c r="D1265" s="7">
        <v>1.0</v>
      </c>
      <c r="E1265" s="7" t="s">
        <v>12</v>
      </c>
      <c r="F1265" s="7" t="s">
        <v>10</v>
      </c>
      <c r="G1265" s="7">
        <v>3277.161</v>
      </c>
      <c r="H1265" s="3"/>
    </row>
    <row r="1266" ht="14.25" customHeight="1">
      <c r="A1266" s="7">
        <v>41.0</v>
      </c>
      <c r="B1266" s="7" t="s">
        <v>8</v>
      </c>
      <c r="C1266" s="7">
        <v>28.05</v>
      </c>
      <c r="D1266" s="7">
        <v>1.0</v>
      </c>
      <c r="E1266" s="7" t="s">
        <v>12</v>
      </c>
      <c r="F1266" s="7" t="s">
        <v>13</v>
      </c>
      <c r="G1266" s="7">
        <v>6770.1925</v>
      </c>
      <c r="H1266" s="3"/>
    </row>
    <row r="1267" ht="14.25" customHeight="1">
      <c r="A1267" s="7">
        <v>43.0</v>
      </c>
      <c r="B1267" s="7" t="s">
        <v>8</v>
      </c>
      <c r="C1267" s="7">
        <v>29.9</v>
      </c>
      <c r="D1267" s="7">
        <v>1.0</v>
      </c>
      <c r="E1267" s="7" t="s">
        <v>12</v>
      </c>
      <c r="F1267" s="7" t="s">
        <v>10</v>
      </c>
      <c r="G1267" s="7">
        <v>7337.748</v>
      </c>
      <c r="H1267" s="3"/>
    </row>
    <row r="1268" ht="14.25" customHeight="1">
      <c r="A1268" s="7">
        <v>49.0</v>
      </c>
      <c r="B1268" s="7" t="s">
        <v>8</v>
      </c>
      <c r="C1268" s="7">
        <v>33.345</v>
      </c>
      <c r="D1268" s="7">
        <v>2.0</v>
      </c>
      <c r="E1268" s="7" t="s">
        <v>12</v>
      </c>
      <c r="F1268" s="7" t="s">
        <v>15</v>
      </c>
      <c r="G1268" s="7">
        <v>10370.91255</v>
      </c>
      <c r="H1268" s="3"/>
    </row>
    <row r="1269" ht="14.25" customHeight="1">
      <c r="A1269" s="7">
        <v>64.0</v>
      </c>
      <c r="B1269" s="7" t="s">
        <v>11</v>
      </c>
      <c r="C1269" s="7">
        <v>23.76</v>
      </c>
      <c r="D1269" s="7">
        <v>0.0</v>
      </c>
      <c r="E1269" s="7" t="s">
        <v>9</v>
      </c>
      <c r="F1269" s="7" t="s">
        <v>13</v>
      </c>
      <c r="G1269" s="7">
        <v>26926.5144</v>
      </c>
      <c r="H1269" s="3"/>
    </row>
    <row r="1270" ht="14.25" customHeight="1">
      <c r="A1270" s="7">
        <v>55.0</v>
      </c>
      <c r="B1270" s="7" t="s">
        <v>8</v>
      </c>
      <c r="C1270" s="7">
        <v>30.5</v>
      </c>
      <c r="D1270" s="7">
        <v>0.0</v>
      </c>
      <c r="E1270" s="7" t="s">
        <v>12</v>
      </c>
      <c r="F1270" s="7" t="s">
        <v>10</v>
      </c>
      <c r="G1270" s="7">
        <v>10704.47</v>
      </c>
      <c r="H1270" s="3"/>
    </row>
    <row r="1271" ht="14.25" customHeight="1">
      <c r="A1271" s="7">
        <v>24.0</v>
      </c>
      <c r="B1271" s="7" t="s">
        <v>11</v>
      </c>
      <c r="C1271" s="7">
        <v>31.065</v>
      </c>
      <c r="D1271" s="7">
        <v>0.0</v>
      </c>
      <c r="E1271" s="7" t="s">
        <v>9</v>
      </c>
      <c r="F1271" s="7" t="s">
        <v>15</v>
      </c>
      <c r="G1271" s="7">
        <v>34254.05335</v>
      </c>
      <c r="H1271" s="3"/>
    </row>
    <row r="1272" ht="14.25" customHeight="1">
      <c r="A1272" s="7">
        <v>20.0</v>
      </c>
      <c r="B1272" s="7" t="s">
        <v>8</v>
      </c>
      <c r="C1272" s="7">
        <v>33.3</v>
      </c>
      <c r="D1272" s="7">
        <v>0.0</v>
      </c>
      <c r="E1272" s="7" t="s">
        <v>12</v>
      </c>
      <c r="F1272" s="7" t="s">
        <v>10</v>
      </c>
      <c r="G1272" s="7">
        <v>1880.487</v>
      </c>
      <c r="H1272" s="3"/>
    </row>
    <row r="1273" ht="14.25" customHeight="1">
      <c r="A1273" s="7">
        <v>45.0</v>
      </c>
      <c r="B1273" s="7" t="s">
        <v>11</v>
      </c>
      <c r="C1273" s="7">
        <v>27.5</v>
      </c>
      <c r="D1273" s="7">
        <v>3.0</v>
      </c>
      <c r="E1273" s="7" t="s">
        <v>12</v>
      </c>
      <c r="F1273" s="7" t="s">
        <v>10</v>
      </c>
      <c r="G1273" s="7">
        <v>8615.3</v>
      </c>
      <c r="H1273" s="3"/>
    </row>
    <row r="1274" ht="14.25" customHeight="1">
      <c r="A1274" s="7">
        <v>26.0</v>
      </c>
      <c r="B1274" s="7" t="s">
        <v>11</v>
      </c>
      <c r="C1274" s="7">
        <v>33.915</v>
      </c>
      <c r="D1274" s="7">
        <v>1.0</v>
      </c>
      <c r="E1274" s="7" t="s">
        <v>12</v>
      </c>
      <c r="F1274" s="7" t="s">
        <v>14</v>
      </c>
      <c r="G1274" s="7">
        <v>3292.52985</v>
      </c>
      <c r="H1274" s="3"/>
    </row>
    <row r="1275" ht="14.25" customHeight="1">
      <c r="A1275" s="7">
        <v>25.0</v>
      </c>
      <c r="B1275" s="7" t="s">
        <v>8</v>
      </c>
      <c r="C1275" s="7">
        <v>34.485</v>
      </c>
      <c r="D1275" s="7">
        <v>0.0</v>
      </c>
      <c r="E1275" s="7" t="s">
        <v>12</v>
      </c>
      <c r="F1275" s="7" t="s">
        <v>14</v>
      </c>
      <c r="G1275" s="7">
        <v>3021.80915</v>
      </c>
      <c r="H1275" s="3"/>
    </row>
    <row r="1276" ht="14.25" customHeight="1">
      <c r="A1276" s="7">
        <v>43.0</v>
      </c>
      <c r="B1276" s="7" t="s">
        <v>11</v>
      </c>
      <c r="C1276" s="7">
        <v>25.52</v>
      </c>
      <c r="D1276" s="7">
        <v>5.0</v>
      </c>
      <c r="E1276" s="7" t="s">
        <v>12</v>
      </c>
      <c r="F1276" s="7" t="s">
        <v>13</v>
      </c>
      <c r="G1276" s="7">
        <v>14478.33015</v>
      </c>
      <c r="H1276" s="3"/>
    </row>
    <row r="1277" ht="14.25" customHeight="1">
      <c r="A1277" s="7">
        <v>35.0</v>
      </c>
      <c r="B1277" s="7" t="s">
        <v>11</v>
      </c>
      <c r="C1277" s="7">
        <v>27.61</v>
      </c>
      <c r="D1277" s="7">
        <v>1.0</v>
      </c>
      <c r="E1277" s="7" t="s">
        <v>12</v>
      </c>
      <c r="F1277" s="7" t="s">
        <v>13</v>
      </c>
      <c r="G1277" s="7">
        <v>4747.0529</v>
      </c>
      <c r="H1277" s="3"/>
    </row>
    <row r="1278" ht="14.25" customHeight="1">
      <c r="A1278" s="7">
        <v>26.0</v>
      </c>
      <c r="B1278" s="7" t="s">
        <v>11</v>
      </c>
      <c r="C1278" s="7">
        <v>27.06</v>
      </c>
      <c r="D1278" s="7">
        <v>0.0</v>
      </c>
      <c r="E1278" s="7" t="s">
        <v>9</v>
      </c>
      <c r="F1278" s="7" t="s">
        <v>13</v>
      </c>
      <c r="G1278" s="7">
        <v>17043.3414</v>
      </c>
      <c r="H1278" s="3"/>
    </row>
    <row r="1279" ht="14.25" customHeight="1">
      <c r="A1279" s="7">
        <v>57.0</v>
      </c>
      <c r="B1279" s="7" t="s">
        <v>11</v>
      </c>
      <c r="C1279" s="7">
        <v>23.7</v>
      </c>
      <c r="D1279" s="7">
        <v>0.0</v>
      </c>
      <c r="E1279" s="7" t="s">
        <v>12</v>
      </c>
      <c r="F1279" s="7" t="s">
        <v>10</v>
      </c>
      <c r="G1279" s="7">
        <v>10959.33</v>
      </c>
      <c r="H1279" s="3"/>
    </row>
    <row r="1280" ht="14.25" customHeight="1">
      <c r="A1280" s="7">
        <v>22.0</v>
      </c>
      <c r="B1280" s="7" t="s">
        <v>8</v>
      </c>
      <c r="C1280" s="7">
        <v>30.4</v>
      </c>
      <c r="D1280" s="7">
        <v>0.0</v>
      </c>
      <c r="E1280" s="7" t="s">
        <v>12</v>
      </c>
      <c r="F1280" s="7" t="s">
        <v>15</v>
      </c>
      <c r="G1280" s="7">
        <v>2741.948</v>
      </c>
      <c r="H1280" s="3"/>
    </row>
    <row r="1281" ht="14.25" customHeight="1">
      <c r="A1281" s="7">
        <v>32.0</v>
      </c>
      <c r="B1281" s="7" t="s">
        <v>8</v>
      </c>
      <c r="C1281" s="7">
        <v>29.735</v>
      </c>
      <c r="D1281" s="7">
        <v>0.0</v>
      </c>
      <c r="E1281" s="7" t="s">
        <v>12</v>
      </c>
      <c r="F1281" s="7" t="s">
        <v>14</v>
      </c>
      <c r="G1281" s="7">
        <v>4357.04365</v>
      </c>
      <c r="H1281" s="3"/>
    </row>
    <row r="1282" ht="14.25" customHeight="1">
      <c r="A1282" s="7">
        <v>39.0</v>
      </c>
      <c r="B1282" s="7" t="s">
        <v>11</v>
      </c>
      <c r="C1282" s="7">
        <v>29.925</v>
      </c>
      <c r="D1282" s="7">
        <v>1.0</v>
      </c>
      <c r="E1282" s="7" t="s">
        <v>9</v>
      </c>
      <c r="F1282" s="7" t="s">
        <v>15</v>
      </c>
      <c r="G1282" s="7">
        <v>22462.04375</v>
      </c>
      <c r="H1282" s="3"/>
    </row>
    <row r="1283" ht="14.25" customHeight="1">
      <c r="A1283" s="7">
        <v>25.0</v>
      </c>
      <c r="B1283" s="7" t="s">
        <v>8</v>
      </c>
      <c r="C1283" s="7">
        <v>26.79</v>
      </c>
      <c r="D1283" s="7">
        <v>2.0</v>
      </c>
      <c r="E1283" s="7" t="s">
        <v>12</v>
      </c>
      <c r="F1283" s="7" t="s">
        <v>14</v>
      </c>
      <c r="G1283" s="7">
        <v>4189.1131</v>
      </c>
      <c r="H1283" s="3"/>
    </row>
    <row r="1284" ht="14.25" customHeight="1">
      <c r="A1284" s="7">
        <v>48.0</v>
      </c>
      <c r="B1284" s="7" t="s">
        <v>8</v>
      </c>
      <c r="C1284" s="7">
        <v>33.33</v>
      </c>
      <c r="D1284" s="7">
        <v>0.0</v>
      </c>
      <c r="E1284" s="7" t="s">
        <v>12</v>
      </c>
      <c r="F1284" s="7" t="s">
        <v>13</v>
      </c>
      <c r="G1284" s="7">
        <v>8283.6807</v>
      </c>
      <c r="H1284" s="3"/>
    </row>
    <row r="1285" ht="14.25" customHeight="1">
      <c r="A1285" s="7">
        <v>47.0</v>
      </c>
      <c r="B1285" s="7" t="s">
        <v>8</v>
      </c>
      <c r="C1285" s="7">
        <v>27.645</v>
      </c>
      <c r="D1285" s="7">
        <v>2.0</v>
      </c>
      <c r="E1285" s="7" t="s">
        <v>9</v>
      </c>
      <c r="F1285" s="7" t="s">
        <v>14</v>
      </c>
      <c r="G1285" s="7">
        <v>24535.69855</v>
      </c>
      <c r="H1285" s="3"/>
    </row>
    <row r="1286" ht="14.25" customHeight="1">
      <c r="A1286" s="7">
        <v>18.0</v>
      </c>
      <c r="B1286" s="7" t="s">
        <v>8</v>
      </c>
      <c r="C1286" s="7">
        <v>21.66</v>
      </c>
      <c r="D1286" s="7">
        <v>0.0</v>
      </c>
      <c r="E1286" s="7" t="s">
        <v>9</v>
      </c>
      <c r="F1286" s="7" t="s">
        <v>15</v>
      </c>
      <c r="G1286" s="7">
        <v>14283.4594</v>
      </c>
      <c r="H1286" s="3"/>
    </row>
    <row r="1287" ht="14.25" customHeight="1">
      <c r="A1287" s="7">
        <v>18.0</v>
      </c>
      <c r="B1287" s="7" t="s">
        <v>11</v>
      </c>
      <c r="C1287" s="7">
        <v>30.03</v>
      </c>
      <c r="D1287" s="7">
        <v>1.0</v>
      </c>
      <c r="E1287" s="7" t="s">
        <v>12</v>
      </c>
      <c r="F1287" s="7" t="s">
        <v>13</v>
      </c>
      <c r="G1287" s="7">
        <v>1720.3537</v>
      </c>
      <c r="H1287" s="3"/>
    </row>
    <row r="1288" ht="14.25" customHeight="1">
      <c r="A1288" s="7">
        <v>61.0</v>
      </c>
      <c r="B1288" s="7" t="s">
        <v>11</v>
      </c>
      <c r="C1288" s="7">
        <v>36.3</v>
      </c>
      <c r="D1288" s="7">
        <v>1.0</v>
      </c>
      <c r="E1288" s="7" t="s">
        <v>9</v>
      </c>
      <c r="F1288" s="7" t="s">
        <v>10</v>
      </c>
      <c r="G1288" s="7">
        <v>47403.88</v>
      </c>
      <c r="H1288" s="3"/>
    </row>
    <row r="1289" ht="14.25" customHeight="1">
      <c r="A1289" s="7">
        <v>47.0</v>
      </c>
      <c r="B1289" s="7" t="s">
        <v>8</v>
      </c>
      <c r="C1289" s="7">
        <v>24.32</v>
      </c>
      <c r="D1289" s="7">
        <v>0.0</v>
      </c>
      <c r="E1289" s="7" t="s">
        <v>12</v>
      </c>
      <c r="F1289" s="7" t="s">
        <v>15</v>
      </c>
      <c r="G1289" s="7">
        <v>8534.6718</v>
      </c>
      <c r="H1289" s="3"/>
    </row>
    <row r="1290" ht="14.25" customHeight="1">
      <c r="A1290" s="7">
        <v>28.0</v>
      </c>
      <c r="B1290" s="7" t="s">
        <v>8</v>
      </c>
      <c r="C1290" s="7">
        <v>17.29</v>
      </c>
      <c r="D1290" s="7">
        <v>0.0</v>
      </c>
      <c r="E1290" s="7" t="s">
        <v>12</v>
      </c>
      <c r="F1290" s="7" t="s">
        <v>15</v>
      </c>
      <c r="G1290" s="7">
        <v>3732.6251</v>
      </c>
      <c r="H1290" s="3"/>
    </row>
    <row r="1291" ht="14.25" customHeight="1">
      <c r="A1291" s="7">
        <v>36.0</v>
      </c>
      <c r="B1291" s="7" t="s">
        <v>8</v>
      </c>
      <c r="C1291" s="7">
        <v>25.9</v>
      </c>
      <c r="D1291" s="7">
        <v>1.0</v>
      </c>
      <c r="E1291" s="7" t="s">
        <v>12</v>
      </c>
      <c r="F1291" s="7" t="s">
        <v>10</v>
      </c>
      <c r="G1291" s="7">
        <v>5472.449</v>
      </c>
      <c r="H1291" s="3"/>
    </row>
    <row r="1292" ht="14.25" customHeight="1">
      <c r="A1292" s="7">
        <v>20.0</v>
      </c>
      <c r="B1292" s="7" t="s">
        <v>11</v>
      </c>
      <c r="C1292" s="7">
        <v>39.4</v>
      </c>
      <c r="D1292" s="7">
        <v>2.0</v>
      </c>
      <c r="E1292" s="7" t="s">
        <v>9</v>
      </c>
      <c r="F1292" s="7" t="s">
        <v>10</v>
      </c>
      <c r="G1292" s="7">
        <v>38344.566</v>
      </c>
      <c r="H1292" s="3"/>
    </row>
    <row r="1293" ht="14.25" customHeight="1">
      <c r="A1293" s="7">
        <v>44.0</v>
      </c>
      <c r="B1293" s="7" t="s">
        <v>11</v>
      </c>
      <c r="C1293" s="7">
        <v>34.32</v>
      </c>
      <c r="D1293" s="7">
        <v>1.0</v>
      </c>
      <c r="E1293" s="7" t="s">
        <v>12</v>
      </c>
      <c r="F1293" s="7" t="s">
        <v>13</v>
      </c>
      <c r="G1293" s="7">
        <v>7147.4728</v>
      </c>
      <c r="H1293" s="3"/>
    </row>
    <row r="1294" ht="14.25" customHeight="1">
      <c r="A1294" s="7">
        <v>38.0</v>
      </c>
      <c r="B1294" s="7" t="s">
        <v>8</v>
      </c>
      <c r="C1294" s="7">
        <v>19.95</v>
      </c>
      <c r="D1294" s="7">
        <v>2.0</v>
      </c>
      <c r="E1294" s="7" t="s">
        <v>12</v>
      </c>
      <c r="F1294" s="7" t="s">
        <v>15</v>
      </c>
      <c r="G1294" s="7">
        <v>7133.9025</v>
      </c>
      <c r="H1294" s="3"/>
    </row>
    <row r="1295" ht="14.25" customHeight="1">
      <c r="A1295" s="7">
        <v>19.0</v>
      </c>
      <c r="B1295" s="7" t="s">
        <v>11</v>
      </c>
      <c r="C1295" s="7">
        <v>34.9</v>
      </c>
      <c r="D1295" s="7">
        <v>0.0</v>
      </c>
      <c r="E1295" s="7" t="s">
        <v>9</v>
      </c>
      <c r="F1295" s="7" t="s">
        <v>10</v>
      </c>
      <c r="G1295" s="7">
        <v>34828.654</v>
      </c>
      <c r="H1295" s="3"/>
    </row>
    <row r="1296" ht="14.25" customHeight="1">
      <c r="A1296" s="7">
        <v>21.0</v>
      </c>
      <c r="B1296" s="7" t="s">
        <v>11</v>
      </c>
      <c r="C1296" s="7">
        <v>23.21</v>
      </c>
      <c r="D1296" s="7">
        <v>0.0</v>
      </c>
      <c r="E1296" s="7" t="s">
        <v>12</v>
      </c>
      <c r="F1296" s="7" t="s">
        <v>13</v>
      </c>
      <c r="G1296" s="7">
        <v>1515.3449</v>
      </c>
      <c r="H1296" s="3"/>
    </row>
    <row r="1297" ht="14.25" customHeight="1">
      <c r="A1297" s="7">
        <v>46.0</v>
      </c>
      <c r="B1297" s="7" t="s">
        <v>11</v>
      </c>
      <c r="C1297" s="7">
        <v>25.745</v>
      </c>
      <c r="D1297" s="7">
        <v>3.0</v>
      </c>
      <c r="E1297" s="7" t="s">
        <v>12</v>
      </c>
      <c r="F1297" s="7" t="s">
        <v>14</v>
      </c>
      <c r="G1297" s="7">
        <v>9301.89355</v>
      </c>
      <c r="H1297" s="3"/>
    </row>
    <row r="1298" ht="14.25" customHeight="1">
      <c r="A1298" s="7">
        <v>58.0</v>
      </c>
      <c r="B1298" s="7" t="s">
        <v>11</v>
      </c>
      <c r="C1298" s="7">
        <v>25.175</v>
      </c>
      <c r="D1298" s="7">
        <v>0.0</v>
      </c>
      <c r="E1298" s="7" t="s">
        <v>12</v>
      </c>
      <c r="F1298" s="7" t="s">
        <v>15</v>
      </c>
      <c r="G1298" s="7">
        <v>11931.12525</v>
      </c>
      <c r="H1298" s="3"/>
    </row>
    <row r="1299" ht="14.25" customHeight="1">
      <c r="A1299" s="7">
        <v>20.0</v>
      </c>
      <c r="B1299" s="7" t="s">
        <v>11</v>
      </c>
      <c r="C1299" s="7">
        <v>22.0</v>
      </c>
      <c r="D1299" s="7">
        <v>1.0</v>
      </c>
      <c r="E1299" s="7" t="s">
        <v>12</v>
      </c>
      <c r="F1299" s="7" t="s">
        <v>10</v>
      </c>
      <c r="G1299" s="7">
        <v>1964.78</v>
      </c>
      <c r="H1299" s="3"/>
    </row>
    <row r="1300" ht="14.25" customHeight="1">
      <c r="A1300" s="7">
        <v>18.0</v>
      </c>
      <c r="B1300" s="7" t="s">
        <v>11</v>
      </c>
      <c r="C1300" s="7">
        <v>26.125</v>
      </c>
      <c r="D1300" s="7">
        <v>0.0</v>
      </c>
      <c r="E1300" s="7" t="s">
        <v>12</v>
      </c>
      <c r="F1300" s="7" t="s">
        <v>15</v>
      </c>
      <c r="G1300" s="7">
        <v>1708.92575</v>
      </c>
      <c r="H1300" s="3"/>
    </row>
    <row r="1301" ht="14.25" customHeight="1">
      <c r="A1301" s="7">
        <v>28.0</v>
      </c>
      <c r="B1301" s="7" t="s">
        <v>8</v>
      </c>
      <c r="C1301" s="7">
        <v>26.51</v>
      </c>
      <c r="D1301" s="7">
        <v>2.0</v>
      </c>
      <c r="E1301" s="7" t="s">
        <v>12</v>
      </c>
      <c r="F1301" s="7" t="s">
        <v>13</v>
      </c>
      <c r="G1301" s="7">
        <v>4340.4409</v>
      </c>
      <c r="H1301" s="3"/>
    </row>
    <row r="1302" ht="14.25" customHeight="1">
      <c r="A1302" s="7">
        <v>33.0</v>
      </c>
      <c r="B1302" s="7" t="s">
        <v>11</v>
      </c>
      <c r="C1302" s="7">
        <v>27.455</v>
      </c>
      <c r="D1302" s="7">
        <v>2.0</v>
      </c>
      <c r="E1302" s="7" t="s">
        <v>12</v>
      </c>
      <c r="F1302" s="7" t="s">
        <v>14</v>
      </c>
      <c r="G1302" s="7">
        <v>5261.46945</v>
      </c>
      <c r="H1302" s="3"/>
    </row>
    <row r="1303" ht="14.25" customHeight="1">
      <c r="A1303" s="7">
        <v>19.0</v>
      </c>
      <c r="B1303" s="7" t="s">
        <v>8</v>
      </c>
      <c r="C1303" s="7">
        <v>25.745</v>
      </c>
      <c r="D1303" s="7">
        <v>1.0</v>
      </c>
      <c r="E1303" s="7" t="s">
        <v>12</v>
      </c>
      <c r="F1303" s="7" t="s">
        <v>14</v>
      </c>
      <c r="G1303" s="7">
        <v>2710.82855</v>
      </c>
      <c r="H1303" s="3"/>
    </row>
    <row r="1304" ht="14.25" customHeight="1">
      <c r="A1304" s="7">
        <v>45.0</v>
      </c>
      <c r="B1304" s="7" t="s">
        <v>11</v>
      </c>
      <c r="C1304" s="7">
        <v>30.36</v>
      </c>
      <c r="D1304" s="7">
        <v>0.0</v>
      </c>
      <c r="E1304" s="7" t="s">
        <v>9</v>
      </c>
      <c r="F1304" s="7" t="s">
        <v>13</v>
      </c>
      <c r="G1304" s="7">
        <v>62592.87309</v>
      </c>
      <c r="H1304" s="3"/>
    </row>
    <row r="1305" ht="14.25" customHeight="1">
      <c r="A1305" s="7">
        <v>62.0</v>
      </c>
      <c r="B1305" s="7" t="s">
        <v>11</v>
      </c>
      <c r="C1305" s="7">
        <v>30.875</v>
      </c>
      <c r="D1305" s="7">
        <v>3.0</v>
      </c>
      <c r="E1305" s="7" t="s">
        <v>9</v>
      </c>
      <c r="F1305" s="7" t="s">
        <v>14</v>
      </c>
      <c r="G1305" s="7">
        <v>46718.16325</v>
      </c>
      <c r="H1305" s="3"/>
    </row>
    <row r="1306" ht="14.25" customHeight="1">
      <c r="A1306" s="7">
        <v>25.0</v>
      </c>
      <c r="B1306" s="7" t="s">
        <v>8</v>
      </c>
      <c r="C1306" s="7">
        <v>20.8</v>
      </c>
      <c r="D1306" s="7">
        <v>1.0</v>
      </c>
      <c r="E1306" s="7" t="s">
        <v>12</v>
      </c>
      <c r="F1306" s="7" t="s">
        <v>10</v>
      </c>
      <c r="G1306" s="7">
        <v>3208.787</v>
      </c>
      <c r="H1306" s="3"/>
    </row>
    <row r="1307" ht="14.25" customHeight="1">
      <c r="A1307" s="7">
        <v>43.0</v>
      </c>
      <c r="B1307" s="7" t="s">
        <v>11</v>
      </c>
      <c r="C1307" s="7">
        <v>27.8</v>
      </c>
      <c r="D1307" s="7">
        <v>0.0</v>
      </c>
      <c r="E1307" s="7" t="s">
        <v>9</v>
      </c>
      <c r="F1307" s="7" t="s">
        <v>10</v>
      </c>
      <c r="G1307" s="7">
        <v>37829.7242</v>
      </c>
      <c r="H1307" s="3"/>
    </row>
    <row r="1308" ht="14.25" customHeight="1">
      <c r="A1308" s="7">
        <v>42.0</v>
      </c>
      <c r="B1308" s="7" t="s">
        <v>11</v>
      </c>
      <c r="C1308" s="7">
        <v>24.605</v>
      </c>
      <c r="D1308" s="7">
        <v>2.0</v>
      </c>
      <c r="E1308" s="7" t="s">
        <v>9</v>
      </c>
      <c r="F1308" s="7" t="s">
        <v>15</v>
      </c>
      <c r="G1308" s="7">
        <v>21259.37795</v>
      </c>
      <c r="H1308" s="3"/>
    </row>
    <row r="1309" ht="14.25" customHeight="1">
      <c r="A1309" s="7">
        <v>24.0</v>
      </c>
      <c r="B1309" s="7" t="s">
        <v>8</v>
      </c>
      <c r="C1309" s="7">
        <v>27.72</v>
      </c>
      <c r="D1309" s="7">
        <v>0.0</v>
      </c>
      <c r="E1309" s="7" t="s">
        <v>12</v>
      </c>
      <c r="F1309" s="7" t="s">
        <v>13</v>
      </c>
      <c r="G1309" s="7">
        <v>2464.6188</v>
      </c>
      <c r="H1309" s="3"/>
    </row>
    <row r="1310" ht="14.25" customHeight="1">
      <c r="A1310" s="7">
        <v>29.0</v>
      </c>
      <c r="B1310" s="7" t="s">
        <v>8</v>
      </c>
      <c r="C1310" s="7">
        <v>21.85</v>
      </c>
      <c r="D1310" s="7">
        <v>0.0</v>
      </c>
      <c r="E1310" s="7" t="s">
        <v>9</v>
      </c>
      <c r="F1310" s="7" t="s">
        <v>15</v>
      </c>
      <c r="G1310" s="7">
        <v>16115.3045</v>
      </c>
      <c r="H1310" s="3"/>
    </row>
    <row r="1311" ht="14.25" customHeight="1">
      <c r="A1311" s="7">
        <v>32.0</v>
      </c>
      <c r="B1311" s="7" t="s">
        <v>11</v>
      </c>
      <c r="C1311" s="7">
        <v>28.12</v>
      </c>
      <c r="D1311" s="7">
        <v>4.0</v>
      </c>
      <c r="E1311" s="7" t="s">
        <v>9</v>
      </c>
      <c r="F1311" s="7" t="s">
        <v>14</v>
      </c>
      <c r="G1311" s="7">
        <v>21472.4788</v>
      </c>
      <c r="H1311" s="3"/>
    </row>
    <row r="1312" ht="14.25" customHeight="1">
      <c r="A1312" s="7">
        <v>25.0</v>
      </c>
      <c r="B1312" s="7" t="s">
        <v>8</v>
      </c>
      <c r="C1312" s="7">
        <v>30.2</v>
      </c>
      <c r="D1312" s="7">
        <v>0.0</v>
      </c>
      <c r="E1312" s="7" t="s">
        <v>9</v>
      </c>
      <c r="F1312" s="7" t="s">
        <v>10</v>
      </c>
      <c r="G1312" s="7">
        <v>33900.653</v>
      </c>
      <c r="H1312" s="3"/>
    </row>
    <row r="1313" ht="14.25" customHeight="1">
      <c r="A1313" s="7">
        <v>41.0</v>
      </c>
      <c r="B1313" s="7" t="s">
        <v>11</v>
      </c>
      <c r="C1313" s="7">
        <v>32.2</v>
      </c>
      <c r="D1313" s="7">
        <v>2.0</v>
      </c>
      <c r="E1313" s="7" t="s">
        <v>12</v>
      </c>
      <c r="F1313" s="7" t="s">
        <v>10</v>
      </c>
      <c r="G1313" s="7">
        <v>6875.961</v>
      </c>
      <c r="H1313" s="3"/>
    </row>
    <row r="1314" ht="14.25" customHeight="1">
      <c r="A1314" s="7">
        <v>42.0</v>
      </c>
      <c r="B1314" s="7" t="s">
        <v>11</v>
      </c>
      <c r="C1314" s="7">
        <v>26.315</v>
      </c>
      <c r="D1314" s="7">
        <v>1.0</v>
      </c>
      <c r="E1314" s="7" t="s">
        <v>12</v>
      </c>
      <c r="F1314" s="7" t="s">
        <v>14</v>
      </c>
      <c r="G1314" s="7">
        <v>6940.90985</v>
      </c>
      <c r="H1314" s="3"/>
    </row>
    <row r="1315" ht="14.25" customHeight="1">
      <c r="A1315" s="7">
        <v>33.0</v>
      </c>
      <c r="B1315" s="7" t="s">
        <v>8</v>
      </c>
      <c r="C1315" s="7">
        <v>26.695</v>
      </c>
      <c r="D1315" s="7">
        <v>0.0</v>
      </c>
      <c r="E1315" s="7" t="s">
        <v>12</v>
      </c>
      <c r="F1315" s="7" t="s">
        <v>14</v>
      </c>
      <c r="G1315" s="7">
        <v>4571.41305</v>
      </c>
      <c r="H1315" s="3"/>
    </row>
    <row r="1316" ht="14.25" customHeight="1">
      <c r="A1316" s="7">
        <v>34.0</v>
      </c>
      <c r="B1316" s="7" t="s">
        <v>11</v>
      </c>
      <c r="C1316" s="7">
        <v>42.9</v>
      </c>
      <c r="D1316" s="7">
        <v>1.0</v>
      </c>
      <c r="E1316" s="7" t="s">
        <v>12</v>
      </c>
      <c r="F1316" s="7" t="s">
        <v>10</v>
      </c>
      <c r="G1316" s="7">
        <v>4536.259</v>
      </c>
      <c r="H1316" s="3"/>
    </row>
    <row r="1317" ht="14.25" customHeight="1">
      <c r="A1317" s="7">
        <v>19.0</v>
      </c>
      <c r="B1317" s="7" t="s">
        <v>8</v>
      </c>
      <c r="C1317" s="7">
        <v>34.7</v>
      </c>
      <c r="D1317" s="7">
        <v>2.0</v>
      </c>
      <c r="E1317" s="7" t="s">
        <v>9</v>
      </c>
      <c r="F1317" s="7" t="s">
        <v>10</v>
      </c>
      <c r="G1317" s="7">
        <v>36397.576</v>
      </c>
      <c r="H1317" s="3"/>
    </row>
    <row r="1318" ht="14.25" customHeight="1">
      <c r="A1318" s="7">
        <v>30.0</v>
      </c>
      <c r="B1318" s="7" t="s">
        <v>8</v>
      </c>
      <c r="C1318" s="7">
        <v>23.655</v>
      </c>
      <c r="D1318" s="7">
        <v>3.0</v>
      </c>
      <c r="E1318" s="7" t="s">
        <v>9</v>
      </c>
      <c r="F1318" s="7" t="s">
        <v>14</v>
      </c>
      <c r="G1318" s="7">
        <v>18765.87545</v>
      </c>
      <c r="H1318" s="3"/>
    </row>
    <row r="1319" ht="14.25" customHeight="1">
      <c r="A1319" s="7">
        <v>18.0</v>
      </c>
      <c r="B1319" s="7" t="s">
        <v>11</v>
      </c>
      <c r="C1319" s="7">
        <v>28.31</v>
      </c>
      <c r="D1319" s="7">
        <v>1.0</v>
      </c>
      <c r="E1319" s="7" t="s">
        <v>12</v>
      </c>
      <c r="F1319" s="7" t="s">
        <v>15</v>
      </c>
      <c r="G1319" s="7">
        <v>11272.33139</v>
      </c>
      <c r="H1319" s="3"/>
    </row>
    <row r="1320" ht="14.25" customHeight="1">
      <c r="A1320" s="7">
        <v>19.0</v>
      </c>
      <c r="B1320" s="7" t="s">
        <v>8</v>
      </c>
      <c r="C1320" s="7">
        <v>20.6</v>
      </c>
      <c r="D1320" s="7">
        <v>0.0</v>
      </c>
      <c r="E1320" s="7" t="s">
        <v>12</v>
      </c>
      <c r="F1320" s="7" t="s">
        <v>10</v>
      </c>
      <c r="G1320" s="7">
        <v>1731.677</v>
      </c>
      <c r="H1320" s="3"/>
    </row>
    <row r="1321" ht="14.25" customHeight="1">
      <c r="A1321" s="7">
        <v>18.0</v>
      </c>
      <c r="B1321" s="7" t="s">
        <v>11</v>
      </c>
      <c r="C1321" s="7">
        <v>53.13</v>
      </c>
      <c r="D1321" s="7">
        <v>0.0</v>
      </c>
      <c r="E1321" s="7" t="s">
        <v>12</v>
      </c>
      <c r="F1321" s="7" t="s">
        <v>13</v>
      </c>
      <c r="G1321" s="7">
        <v>1163.4627</v>
      </c>
      <c r="H1321" s="3"/>
    </row>
    <row r="1322" ht="14.25" customHeight="1">
      <c r="A1322" s="7">
        <v>35.0</v>
      </c>
      <c r="B1322" s="7" t="s">
        <v>11</v>
      </c>
      <c r="C1322" s="7">
        <v>39.71</v>
      </c>
      <c r="D1322" s="7">
        <v>4.0</v>
      </c>
      <c r="E1322" s="7" t="s">
        <v>12</v>
      </c>
      <c r="F1322" s="7" t="s">
        <v>15</v>
      </c>
      <c r="G1322" s="7">
        <v>19496.71917</v>
      </c>
      <c r="H1322" s="3"/>
    </row>
    <row r="1323" ht="14.25" customHeight="1">
      <c r="A1323" s="7">
        <v>39.0</v>
      </c>
      <c r="B1323" s="7" t="s">
        <v>8</v>
      </c>
      <c r="C1323" s="7">
        <v>26.315</v>
      </c>
      <c r="D1323" s="7">
        <v>2.0</v>
      </c>
      <c r="E1323" s="7" t="s">
        <v>12</v>
      </c>
      <c r="F1323" s="7" t="s">
        <v>14</v>
      </c>
      <c r="G1323" s="7">
        <v>7201.70085</v>
      </c>
      <c r="H1323" s="3"/>
    </row>
    <row r="1324" ht="14.25" customHeight="1">
      <c r="A1324" s="7">
        <v>31.0</v>
      </c>
      <c r="B1324" s="7" t="s">
        <v>11</v>
      </c>
      <c r="C1324" s="7">
        <v>31.065</v>
      </c>
      <c r="D1324" s="7">
        <v>3.0</v>
      </c>
      <c r="E1324" s="7" t="s">
        <v>12</v>
      </c>
      <c r="F1324" s="7" t="s">
        <v>14</v>
      </c>
      <c r="G1324" s="7">
        <v>5425.02335</v>
      </c>
      <c r="H1324" s="3"/>
    </row>
    <row r="1325" ht="14.25" customHeight="1">
      <c r="A1325" s="7">
        <v>62.0</v>
      </c>
      <c r="B1325" s="7" t="s">
        <v>11</v>
      </c>
      <c r="C1325" s="7">
        <v>26.695</v>
      </c>
      <c r="D1325" s="7">
        <v>0.0</v>
      </c>
      <c r="E1325" s="7" t="s">
        <v>9</v>
      </c>
      <c r="F1325" s="7" t="s">
        <v>15</v>
      </c>
      <c r="G1325" s="7">
        <v>28101.33305</v>
      </c>
      <c r="H1325" s="3"/>
    </row>
    <row r="1326" ht="14.25" customHeight="1">
      <c r="A1326" s="7">
        <v>62.0</v>
      </c>
      <c r="B1326" s="7" t="s">
        <v>11</v>
      </c>
      <c r="C1326" s="7">
        <v>38.83</v>
      </c>
      <c r="D1326" s="7">
        <v>0.0</v>
      </c>
      <c r="E1326" s="7" t="s">
        <v>12</v>
      </c>
      <c r="F1326" s="7" t="s">
        <v>13</v>
      </c>
      <c r="G1326" s="7">
        <v>12981.3457</v>
      </c>
      <c r="H1326" s="3"/>
    </row>
    <row r="1327" ht="14.25" customHeight="1">
      <c r="A1327" s="7">
        <v>42.0</v>
      </c>
      <c r="B1327" s="7" t="s">
        <v>8</v>
      </c>
      <c r="C1327" s="7">
        <v>40.37</v>
      </c>
      <c r="D1327" s="7">
        <v>2.0</v>
      </c>
      <c r="E1327" s="7" t="s">
        <v>9</v>
      </c>
      <c r="F1327" s="7" t="s">
        <v>13</v>
      </c>
      <c r="G1327" s="7">
        <v>43896.3763</v>
      </c>
      <c r="H1327" s="3"/>
    </row>
    <row r="1328" ht="14.25" customHeight="1">
      <c r="A1328" s="7">
        <v>31.0</v>
      </c>
      <c r="B1328" s="7" t="s">
        <v>11</v>
      </c>
      <c r="C1328" s="7">
        <v>25.935</v>
      </c>
      <c r="D1328" s="7">
        <v>1.0</v>
      </c>
      <c r="E1328" s="7" t="s">
        <v>12</v>
      </c>
      <c r="F1328" s="7" t="s">
        <v>14</v>
      </c>
      <c r="G1328" s="7">
        <v>4239.89265</v>
      </c>
      <c r="H1328" s="3"/>
    </row>
    <row r="1329" ht="14.25" customHeight="1">
      <c r="A1329" s="7">
        <v>61.0</v>
      </c>
      <c r="B1329" s="7" t="s">
        <v>11</v>
      </c>
      <c r="C1329" s="7">
        <v>33.535</v>
      </c>
      <c r="D1329" s="7">
        <v>0.0</v>
      </c>
      <c r="E1329" s="7" t="s">
        <v>12</v>
      </c>
      <c r="F1329" s="7" t="s">
        <v>15</v>
      </c>
      <c r="G1329" s="7">
        <v>13143.33665</v>
      </c>
      <c r="H1329" s="3"/>
    </row>
    <row r="1330" ht="14.25" customHeight="1">
      <c r="A1330" s="7">
        <v>42.0</v>
      </c>
      <c r="B1330" s="7" t="s">
        <v>8</v>
      </c>
      <c r="C1330" s="7">
        <v>32.87</v>
      </c>
      <c r="D1330" s="7">
        <v>0.0</v>
      </c>
      <c r="E1330" s="7" t="s">
        <v>12</v>
      </c>
      <c r="F1330" s="7" t="s">
        <v>15</v>
      </c>
      <c r="G1330" s="7">
        <v>7050.0213</v>
      </c>
      <c r="H1330" s="3"/>
    </row>
    <row r="1331" ht="14.25" customHeight="1">
      <c r="A1331" s="7">
        <v>51.0</v>
      </c>
      <c r="B1331" s="7" t="s">
        <v>11</v>
      </c>
      <c r="C1331" s="7">
        <v>30.03</v>
      </c>
      <c r="D1331" s="7">
        <v>1.0</v>
      </c>
      <c r="E1331" s="7" t="s">
        <v>12</v>
      </c>
      <c r="F1331" s="7" t="s">
        <v>13</v>
      </c>
      <c r="G1331" s="7">
        <v>9377.9047</v>
      </c>
      <c r="H1331" s="3"/>
    </row>
    <row r="1332" ht="14.25" customHeight="1">
      <c r="A1332" s="7">
        <v>23.0</v>
      </c>
      <c r="B1332" s="7" t="s">
        <v>8</v>
      </c>
      <c r="C1332" s="7">
        <v>24.225</v>
      </c>
      <c r="D1332" s="7">
        <v>2.0</v>
      </c>
      <c r="E1332" s="7" t="s">
        <v>12</v>
      </c>
      <c r="F1332" s="7" t="s">
        <v>15</v>
      </c>
      <c r="G1332" s="7">
        <v>22395.74424</v>
      </c>
      <c r="H1332" s="3"/>
    </row>
    <row r="1333" ht="14.25" customHeight="1">
      <c r="A1333" s="7">
        <v>52.0</v>
      </c>
      <c r="B1333" s="7" t="s">
        <v>11</v>
      </c>
      <c r="C1333" s="7">
        <v>38.6</v>
      </c>
      <c r="D1333" s="7">
        <v>2.0</v>
      </c>
      <c r="E1333" s="7" t="s">
        <v>12</v>
      </c>
      <c r="F1333" s="7" t="s">
        <v>10</v>
      </c>
      <c r="G1333" s="7">
        <v>10325.206</v>
      </c>
      <c r="H1333" s="3"/>
    </row>
    <row r="1334" ht="14.25" customHeight="1">
      <c r="A1334" s="7">
        <v>57.0</v>
      </c>
      <c r="B1334" s="7" t="s">
        <v>8</v>
      </c>
      <c r="C1334" s="7">
        <v>25.74</v>
      </c>
      <c r="D1334" s="7">
        <v>2.0</v>
      </c>
      <c r="E1334" s="7" t="s">
        <v>12</v>
      </c>
      <c r="F1334" s="7" t="s">
        <v>13</v>
      </c>
      <c r="G1334" s="7">
        <v>12629.1656</v>
      </c>
      <c r="H1334" s="3"/>
    </row>
    <row r="1335" ht="14.25" customHeight="1">
      <c r="A1335" s="7">
        <v>23.0</v>
      </c>
      <c r="B1335" s="7" t="s">
        <v>8</v>
      </c>
      <c r="C1335" s="7">
        <v>33.4</v>
      </c>
      <c r="D1335" s="7">
        <v>0.0</v>
      </c>
      <c r="E1335" s="7" t="s">
        <v>12</v>
      </c>
      <c r="F1335" s="7" t="s">
        <v>10</v>
      </c>
      <c r="G1335" s="7">
        <v>10795.93733</v>
      </c>
      <c r="H1335" s="3"/>
    </row>
    <row r="1336" ht="14.25" customHeight="1">
      <c r="A1336" s="7">
        <v>52.0</v>
      </c>
      <c r="B1336" s="7" t="s">
        <v>8</v>
      </c>
      <c r="C1336" s="7">
        <v>44.7</v>
      </c>
      <c r="D1336" s="7">
        <v>3.0</v>
      </c>
      <c r="E1336" s="7" t="s">
        <v>12</v>
      </c>
      <c r="F1336" s="7" t="s">
        <v>10</v>
      </c>
      <c r="G1336" s="7">
        <v>11411.685</v>
      </c>
      <c r="H1336" s="3"/>
    </row>
    <row r="1337" ht="14.25" customHeight="1">
      <c r="A1337" s="7">
        <v>50.0</v>
      </c>
      <c r="B1337" s="7" t="s">
        <v>11</v>
      </c>
      <c r="C1337" s="7">
        <v>30.97</v>
      </c>
      <c r="D1337" s="7">
        <v>3.0</v>
      </c>
      <c r="E1337" s="7" t="s">
        <v>12</v>
      </c>
      <c r="F1337" s="7" t="s">
        <v>14</v>
      </c>
      <c r="G1337" s="7">
        <v>10600.5483</v>
      </c>
      <c r="H1337" s="3"/>
    </row>
    <row r="1338" ht="14.25" customHeight="1">
      <c r="A1338" s="7">
        <v>18.0</v>
      </c>
      <c r="B1338" s="7" t="s">
        <v>8</v>
      </c>
      <c r="C1338" s="7">
        <v>31.92</v>
      </c>
      <c r="D1338" s="7">
        <v>0.0</v>
      </c>
      <c r="E1338" s="7" t="s">
        <v>12</v>
      </c>
      <c r="F1338" s="7" t="s">
        <v>15</v>
      </c>
      <c r="G1338" s="7">
        <v>2205.9808</v>
      </c>
      <c r="H1338" s="3"/>
    </row>
    <row r="1339" ht="14.25" customHeight="1">
      <c r="A1339" s="7">
        <v>18.0</v>
      </c>
      <c r="B1339" s="7" t="s">
        <v>8</v>
      </c>
      <c r="C1339" s="7">
        <v>36.85</v>
      </c>
      <c r="D1339" s="7">
        <v>0.0</v>
      </c>
      <c r="E1339" s="7" t="s">
        <v>12</v>
      </c>
      <c r="F1339" s="7" t="s">
        <v>13</v>
      </c>
      <c r="G1339" s="7">
        <v>1629.8335</v>
      </c>
      <c r="H1339" s="3"/>
    </row>
    <row r="1340" ht="14.25" customHeight="1">
      <c r="A1340" s="7">
        <v>21.0</v>
      </c>
      <c r="B1340" s="7" t="s">
        <v>8</v>
      </c>
      <c r="C1340" s="7">
        <v>25.8</v>
      </c>
      <c r="D1340" s="7">
        <v>0.0</v>
      </c>
      <c r="E1340" s="7" t="s">
        <v>12</v>
      </c>
      <c r="F1340" s="7" t="s">
        <v>10</v>
      </c>
      <c r="G1340" s="7">
        <v>2007.945</v>
      </c>
    </row>
    <row r="1341" ht="14.25" customHeight="1">
      <c r="A1341" s="7">
        <v>61.0</v>
      </c>
      <c r="B1341" s="7" t="s">
        <v>8</v>
      </c>
      <c r="C1341" s="7">
        <v>29.07</v>
      </c>
      <c r="D1341" s="7">
        <v>0.0</v>
      </c>
      <c r="E1341" s="7" t="s">
        <v>9</v>
      </c>
      <c r="F1341" s="7" t="s">
        <v>14</v>
      </c>
      <c r="G1341" s="7">
        <v>29141.3603</v>
      </c>
    </row>
  </sheetData>
  <mergeCells count="1">
    <mergeCell ref="A1:E1"/>
  </mergeCells>
  <conditionalFormatting sqref="C4:C1341">
    <cfRule type="cellIs" dxfId="0" priority="1" operator="greaterThan">
      <formula>29.99</formula>
    </cfRule>
  </conditionalFormatting>
  <conditionalFormatting sqref="C4:C1341">
    <cfRule type="cellIs" dxfId="1" priority="2" operator="between">
      <formula>25</formula>
      <formula>29.99</formula>
    </cfRule>
  </conditionalFormatting>
  <conditionalFormatting sqref="C4:C1341">
    <cfRule type="cellIs" dxfId="2" priority="3" operator="between">
      <formula>18.5</formula>
      <formula>24.99</formula>
    </cfRule>
  </conditionalFormatting>
  <conditionalFormatting sqref="C4:C1341">
    <cfRule type="cellIs" dxfId="0" priority="4" operator="greaterThan">
      <formula>30</formula>
    </cfRule>
  </conditionalFormatting>
  <conditionalFormatting sqref="C4:C1341">
    <cfRule type="cellIs" dxfId="3" priority="5" operator="lessThan">
      <formula>18.5</formula>
    </cfRule>
  </conditionalFormatting>
  <conditionalFormatting sqref="E3:E1341">
    <cfRule type="containsText" dxfId="4" priority="6" operator="containsText" text="YES">
      <formula>NOT(ISERROR(SEARCH(("YES"),(E3))))</formula>
    </cfRule>
  </conditionalFormatting>
  <conditionalFormatting sqref="F3:F1341">
    <cfRule type="containsText" dxfId="5" priority="7" operator="containsText" text="SOUTHEAST">
      <formula>NOT(ISERROR(SEARCH(("SOUTHEAST"),(F3))))</formula>
    </cfRule>
  </conditionalFormatting>
  <conditionalFormatting sqref="F3:F1341">
    <cfRule type="containsText" dxfId="2" priority="8" operator="containsText" text="SOUTHWEST">
      <formula>NOT(ISERROR(SEARCH(("SOUTHWEST"),(F3))))</formula>
    </cfRule>
  </conditionalFormatting>
  <conditionalFormatting sqref="F3:F1341">
    <cfRule type="containsText" dxfId="1" priority="9" operator="containsText" text="NORTHWEST">
      <formula>NOT(ISERROR(SEARCH(("NORTHWEST"),(F3))))</formula>
    </cfRule>
  </conditionalFormatting>
  <conditionalFormatting sqref="F3:F1341">
    <cfRule type="containsText" dxfId="0" priority="10" operator="containsText" text="NORTHEAST">
      <formula>NOT(ISERROR(SEARCH(("NORTHEAST"),(F3))))</formula>
    </cfRule>
  </conditionalFormatting>
  <conditionalFormatting sqref="V4">
    <cfRule type="cellIs" dxfId="0" priority="11" operator="equal">
      <formula>"PINK"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8.71"/>
    <col customWidth="1" min="3" max="3" width="13.29"/>
    <col customWidth="1" min="4" max="9" width="8.71"/>
    <col customWidth="1" min="10" max="10" width="9.71"/>
    <col customWidth="1" min="11" max="26" width="8.71"/>
  </cols>
  <sheetData>
    <row r="1" ht="14.25" customHeight="1">
      <c r="A1" s="4" t="s">
        <v>1</v>
      </c>
      <c r="B1" s="5" t="s">
        <v>16</v>
      </c>
    </row>
    <row r="2" ht="14.25" customHeight="1">
      <c r="A2" s="7" t="s">
        <v>17</v>
      </c>
      <c r="B2" s="14">
        <f>MAX(DATA!$A$4:$A$1341)</f>
        <v>64</v>
      </c>
    </row>
    <row r="3" ht="14.25" customHeight="1">
      <c r="A3" s="7" t="s">
        <v>18</v>
      </c>
      <c r="B3" s="14">
        <f>MIN(DATA!$A$4:$A$1341)</f>
        <v>18</v>
      </c>
    </row>
    <row r="4" ht="14.25" customHeight="1">
      <c r="A4" s="7" t="s">
        <v>19</v>
      </c>
      <c r="B4" s="14">
        <f>AVERAGE(DATA!$A$4:$A$1341)</f>
        <v>39.20702541</v>
      </c>
    </row>
    <row r="5" ht="14.25" customHeight="1">
      <c r="A5" s="7" t="s">
        <v>20</v>
      </c>
      <c r="B5" s="14">
        <f>COUNT(DATA!$A$4:$A$1341)</f>
        <v>1338</v>
      </c>
    </row>
    <row r="6" ht="14.25" customHeight="1">
      <c r="A6" s="7" t="s">
        <v>21</v>
      </c>
      <c r="B6" s="14">
        <f>MODE(DATA!$A$4:$A$1341)</f>
        <v>18</v>
      </c>
      <c r="C6" s="2" t="s">
        <v>22</v>
      </c>
    </row>
    <row r="7" ht="14.25" customHeight="1"/>
    <row r="8" ht="14.25" customHeight="1"/>
    <row r="9" ht="14.25" customHeight="1">
      <c r="A9" s="15" t="s">
        <v>23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6:J6"/>
    <mergeCell ref="A9:C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2.71"/>
    <col customWidth="1" min="3" max="26" width="8.71"/>
  </cols>
  <sheetData>
    <row r="1" ht="14.25" customHeight="1">
      <c r="A1" s="4" t="s">
        <v>2</v>
      </c>
      <c r="B1" s="5" t="s">
        <v>16</v>
      </c>
    </row>
    <row r="2" ht="14.25" customHeight="1">
      <c r="A2" s="7" t="s">
        <v>24</v>
      </c>
      <c r="B2" s="14">
        <f>COUNTIF(DATA!$B$4:$B$1341,"FEMALE")</f>
        <v>662</v>
      </c>
      <c r="D2" s="2" t="s">
        <v>25</v>
      </c>
    </row>
    <row r="3" ht="14.25" customHeight="1">
      <c r="A3" s="7" t="s">
        <v>26</v>
      </c>
      <c r="B3" s="14">
        <f>COUNTIF(DATA!$B$4:$B$1341,"MALE")</f>
        <v>676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2:I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71"/>
    <col customWidth="1" min="2" max="2" width="21.57"/>
    <col customWidth="1" min="3" max="3" width="26.71"/>
    <col customWidth="1" min="4" max="26" width="8.71"/>
  </cols>
  <sheetData>
    <row r="1" ht="14.25" customHeight="1">
      <c r="A1" s="4" t="s">
        <v>3</v>
      </c>
      <c r="B1" s="16" t="s">
        <v>27</v>
      </c>
      <c r="C1" s="5" t="s">
        <v>28</v>
      </c>
    </row>
    <row r="2" ht="14.25" customHeight="1">
      <c r="A2" s="7" t="s">
        <v>29</v>
      </c>
      <c r="B2" s="17" t="s">
        <v>30</v>
      </c>
      <c r="C2" s="14" t="s">
        <v>31</v>
      </c>
    </row>
    <row r="3" ht="14.25" customHeight="1">
      <c r="A3" s="7" t="s">
        <v>32</v>
      </c>
      <c r="B3" s="18" t="s">
        <v>33</v>
      </c>
      <c r="C3" s="14" t="s">
        <v>34</v>
      </c>
    </row>
    <row r="4" ht="14.25" customHeight="1">
      <c r="A4" s="7" t="s">
        <v>35</v>
      </c>
      <c r="B4" s="19" t="s">
        <v>36</v>
      </c>
      <c r="C4" s="14" t="s">
        <v>37</v>
      </c>
    </row>
    <row r="5" ht="14.25" customHeight="1">
      <c r="A5" s="7" t="s">
        <v>38</v>
      </c>
      <c r="B5" s="20" t="s">
        <v>39</v>
      </c>
      <c r="C5" s="14" t="s">
        <v>40</v>
      </c>
      <c r="E5" s="21" t="s">
        <v>41</v>
      </c>
      <c r="F5" s="21"/>
      <c r="G5" s="21"/>
    </row>
    <row r="6" ht="14.25" customHeight="1"/>
    <row r="7" ht="14.25" customHeight="1"/>
    <row r="8" ht="14.25" customHeight="1">
      <c r="A8" s="7" t="s">
        <v>18</v>
      </c>
      <c r="B8" s="14">
        <f>MIN(DATA!$C$4:$C$1341)</f>
        <v>15.96</v>
      </c>
    </row>
    <row r="9" ht="14.25" customHeight="1">
      <c r="A9" s="7" t="s">
        <v>17</v>
      </c>
      <c r="B9" s="14">
        <f>MAX(DATA!$C$4:$C$1341)</f>
        <v>53.13</v>
      </c>
    </row>
    <row r="10" ht="14.25" customHeight="1">
      <c r="A10" s="7" t="s">
        <v>42</v>
      </c>
      <c r="B10" s="14">
        <f>AVERAGE(DATA!$C$4:$C$1341)</f>
        <v>30.66339686</v>
      </c>
    </row>
    <row r="11" ht="14.25" customHeight="1"/>
    <row r="12" ht="14.25" customHeight="1"/>
    <row r="13" ht="14.25" customHeight="1">
      <c r="A13" s="3" t="s">
        <v>43</v>
      </c>
      <c r="B13" s="14">
        <f>COUNTIF(DATA!C4:C1341,"&lt;=18.5")</f>
        <v>21</v>
      </c>
    </row>
    <row r="14" ht="14.25" customHeight="1">
      <c r="A14" s="3" t="s">
        <v>44</v>
      </c>
      <c r="B14" s="14">
        <f>COUNTIFS(DATA!C4:C1341,"&gt;18.5", DATA!C4:C1341, "&lt;25")</f>
        <v>224</v>
      </c>
      <c r="C14" s="17" t="s">
        <v>45</v>
      </c>
    </row>
    <row r="15" ht="14.25" customHeight="1">
      <c r="A15" s="3" t="s">
        <v>46</v>
      </c>
      <c r="B15" s="14">
        <f>COUNTIFS(DATA!C4:C1341,"&gt;=25", DATA!C4:C1341, "&lt;30")</f>
        <v>386</v>
      </c>
    </row>
    <row r="16" ht="14.25" customHeight="1">
      <c r="A16" s="3" t="s">
        <v>47</v>
      </c>
      <c r="B16" s="14">
        <f>COUNTIF(DATA!C4:C1341,"&gt;=30")</f>
        <v>707</v>
      </c>
    </row>
    <row r="17" ht="14.25" customHeight="1">
      <c r="B17" s="14"/>
    </row>
    <row r="18" ht="14.25" customHeight="1">
      <c r="B18" s="14"/>
    </row>
    <row r="19" ht="14.25" customHeight="1">
      <c r="A19" s="3" t="s">
        <v>48</v>
      </c>
      <c r="B19" s="14">
        <f>AVERAGEIFS(DATA!A4:A1341, DATA!C4:C1341, "&gt;18.5", DATA!C4:C1341, "&lt;25")</f>
        <v>36.75</v>
      </c>
    </row>
    <row r="20" ht="14.25" customHeight="1">
      <c r="A20" s="3"/>
      <c r="B20" s="14"/>
    </row>
    <row r="21" ht="14.25" customHeight="1">
      <c r="B21" s="14"/>
    </row>
    <row r="22" ht="14.25" customHeight="1">
      <c r="B22" s="14"/>
    </row>
    <row r="23" ht="14.25" customHeight="1">
      <c r="B23" s="14"/>
    </row>
    <row r="24" ht="14.25" customHeight="1">
      <c r="B24" s="14"/>
    </row>
    <row r="25" ht="14.25" customHeight="1">
      <c r="B25" s="14"/>
    </row>
    <row r="26" ht="14.25" customHeight="1">
      <c r="B26" s="14"/>
    </row>
    <row r="27" ht="14.25" customHeight="1">
      <c r="B27" s="14"/>
    </row>
    <row r="28" ht="14.25" customHeight="1">
      <c r="B28" s="14"/>
    </row>
    <row r="29" ht="14.25" customHeight="1">
      <c r="B29" s="14"/>
    </row>
    <row r="30" ht="14.25" customHeight="1">
      <c r="B30" s="14"/>
    </row>
    <row r="31" ht="14.25" customHeight="1">
      <c r="B31" s="14"/>
    </row>
    <row r="32" ht="14.25" customHeight="1">
      <c r="B32" s="14"/>
    </row>
    <row r="33" ht="14.25" customHeight="1">
      <c r="B33" s="14"/>
    </row>
    <row r="34" ht="14.25" customHeight="1">
      <c r="B34" s="14"/>
    </row>
    <row r="35" ht="14.25" customHeight="1">
      <c r="B35" s="14"/>
    </row>
    <row r="36" ht="14.25" customHeight="1">
      <c r="B36" s="14"/>
    </row>
    <row r="37" ht="14.25" customHeight="1">
      <c r="B37" s="14"/>
    </row>
    <row r="38" ht="14.25" customHeight="1">
      <c r="B38" s="14"/>
    </row>
    <row r="39" ht="14.25" customHeight="1">
      <c r="B39" s="14"/>
    </row>
    <row r="40" ht="14.25" customHeight="1">
      <c r="B40" s="14"/>
    </row>
    <row r="41" ht="14.25" customHeight="1">
      <c r="B41" s="14"/>
    </row>
    <row r="42" ht="14.25" customHeight="1">
      <c r="B42" s="14"/>
    </row>
    <row r="43" ht="14.25" customHeight="1">
      <c r="B43" s="14"/>
    </row>
    <row r="44" ht="14.25" customHeight="1">
      <c r="B44" s="14"/>
    </row>
    <row r="45" ht="14.25" customHeight="1">
      <c r="B45" s="14"/>
    </row>
    <row r="46" ht="14.25" customHeight="1">
      <c r="B46" s="14"/>
    </row>
    <row r="47" ht="14.25" customHeight="1">
      <c r="B47" s="14"/>
    </row>
    <row r="48" ht="14.25" customHeight="1">
      <c r="B48" s="14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12.43"/>
    <col customWidth="1" min="3" max="26" width="8.71"/>
  </cols>
  <sheetData>
    <row r="1" ht="14.25" customHeight="1">
      <c r="A1" s="4" t="s">
        <v>4</v>
      </c>
      <c r="B1" s="5" t="s">
        <v>28</v>
      </c>
    </row>
    <row r="2" ht="14.25" customHeight="1">
      <c r="A2" s="7" t="s">
        <v>49</v>
      </c>
      <c r="B2" s="14">
        <f>MAX(DATA!D4:D1341)</f>
        <v>5</v>
      </c>
    </row>
    <row r="3" ht="14.25" customHeight="1">
      <c r="A3" s="7" t="s">
        <v>50</v>
      </c>
      <c r="B3" s="14">
        <f>MIN(DATA!D4:D1341)</f>
        <v>0</v>
      </c>
    </row>
    <row r="4" ht="14.25" customHeight="1">
      <c r="A4" s="2"/>
    </row>
    <row r="5" ht="14.25" customHeight="1">
      <c r="A5" s="7" t="s">
        <v>51</v>
      </c>
      <c r="B5" s="14">
        <f>COUNTIF(DATA!$D$4:$D$1341,"=0")</f>
        <v>574</v>
      </c>
    </row>
    <row r="6" ht="14.25" customHeight="1">
      <c r="A6" s="7" t="s">
        <v>52</v>
      </c>
      <c r="B6" s="14">
        <f>COUNTIF(DATA!$D$4:$D$1341,"=1")</f>
        <v>324</v>
      </c>
    </row>
    <row r="7" ht="14.25" customHeight="1">
      <c r="A7" s="7" t="s">
        <v>53</v>
      </c>
      <c r="B7" s="14">
        <f>COUNTIF(DATA!$D$4:$D$1341,"=2")</f>
        <v>240</v>
      </c>
    </row>
    <row r="8" ht="14.25" customHeight="1">
      <c r="A8" s="7" t="s">
        <v>54</v>
      </c>
      <c r="B8" s="14">
        <f>COUNTIF(DATA!$D$4:$D$1341,"=3")</f>
        <v>157</v>
      </c>
    </row>
    <row r="9" ht="14.25" customHeight="1">
      <c r="A9" s="7" t="s">
        <v>55</v>
      </c>
      <c r="B9" s="14">
        <f>COUNTIF(DATA!$D$4:$D$1341,"=4")</f>
        <v>25</v>
      </c>
    </row>
    <row r="10" ht="14.25" customHeight="1">
      <c r="A10" s="7" t="s">
        <v>56</v>
      </c>
      <c r="B10" s="14">
        <f>COUNTIF(DATA!$D$4:$D$1341,"=5")</f>
        <v>18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2" width="21.71"/>
    <col customWidth="1" min="3" max="26" width="8.71"/>
  </cols>
  <sheetData>
    <row r="1" ht="14.25" customHeight="1">
      <c r="A1" s="4" t="s">
        <v>5</v>
      </c>
      <c r="B1" s="5" t="s">
        <v>16</v>
      </c>
    </row>
    <row r="2" ht="14.25" customHeight="1">
      <c r="A2" s="7" t="s">
        <v>57</v>
      </c>
      <c r="B2" s="14">
        <f>COUNTIF(DATA!$E$4:$E$1341,"YES")</f>
        <v>274</v>
      </c>
      <c r="D2" s="15" t="s">
        <v>58</v>
      </c>
    </row>
    <row r="3" ht="14.25" customHeight="1">
      <c r="A3" s="7" t="s">
        <v>59</v>
      </c>
      <c r="B3" s="14">
        <f>COUNTIF(DATA!$E$4:$E$1341,"NO")</f>
        <v>1064</v>
      </c>
    </row>
    <row r="4" ht="14.25" customHeight="1"/>
    <row r="5" ht="14.25" customHeight="1">
      <c r="D5" s="15" t="s">
        <v>60</v>
      </c>
    </row>
    <row r="6" ht="14.25" customHeight="1">
      <c r="A6" s="7" t="s">
        <v>61</v>
      </c>
      <c r="B6" s="14">
        <f>COUNTIFS(DATA!$E$4:$E$1341,"YES", DATA!$B$4:$B$1341, "FEMALE")</f>
        <v>115</v>
      </c>
    </row>
    <row r="7" ht="14.25" customHeight="1">
      <c r="A7" s="7" t="s">
        <v>62</v>
      </c>
      <c r="B7" s="14">
        <f>COUNTIFS(DATA!$E$4:$E$1341,"YES", DATA!$B$4:$B$1341, "MALE")</f>
        <v>159</v>
      </c>
    </row>
    <row r="8" ht="14.25" customHeight="1">
      <c r="B8" s="14"/>
    </row>
    <row r="9" ht="14.25" customHeight="1">
      <c r="A9" s="7" t="s">
        <v>63</v>
      </c>
      <c r="B9" s="14">
        <f>COUNTIFS(DATA!$E$4:$E$1341,"NO", DATA!$B$4:$B$1341, "FEMALE")</f>
        <v>547</v>
      </c>
    </row>
    <row r="10" ht="14.25" customHeight="1">
      <c r="A10" s="7" t="s">
        <v>64</v>
      </c>
      <c r="B10" s="14">
        <f>COUNTIFS(DATA!$E$4:$E$1341,"NO", DATA!$B$4:$B$1341, "MALE")</f>
        <v>517</v>
      </c>
    </row>
    <row r="11" ht="14.25" customHeight="1">
      <c r="B11" s="14"/>
    </row>
    <row r="12" ht="14.25" customHeight="1">
      <c r="B12" s="14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2:I2"/>
    <mergeCell ref="D5:J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8.71"/>
    <col customWidth="1" min="3" max="3" width="17.29"/>
    <col customWidth="1" min="4" max="26" width="8.71"/>
  </cols>
  <sheetData>
    <row r="1" ht="14.25" customHeight="1">
      <c r="A1" s="4" t="s">
        <v>6</v>
      </c>
      <c r="B1" s="5" t="s">
        <v>16</v>
      </c>
      <c r="C1" s="16" t="s">
        <v>27</v>
      </c>
    </row>
    <row r="2" ht="14.25" customHeight="1">
      <c r="A2" s="7" t="s">
        <v>65</v>
      </c>
      <c r="B2" s="14">
        <f>COUNTIF(DATA!$F$4:$F41341,"NORTHEAST")</f>
        <v>324</v>
      </c>
      <c r="C2" s="20" t="s">
        <v>39</v>
      </c>
    </row>
    <row r="3" ht="14.25" customHeight="1">
      <c r="A3" s="7" t="s">
        <v>66</v>
      </c>
      <c r="B3" s="14">
        <f>COUNTIF(DATA!$F$4:$F41341,"NORTHWEST")</f>
        <v>325</v>
      </c>
      <c r="C3" s="19" t="s">
        <v>36</v>
      </c>
    </row>
    <row r="4" ht="14.25" customHeight="1">
      <c r="A4" s="7" t="s">
        <v>67</v>
      </c>
      <c r="B4" s="14">
        <f>COUNTIF(DATA!$F$4:$F41341,"SOUTHEAST")</f>
        <v>364</v>
      </c>
      <c r="C4" s="18" t="s">
        <v>68</v>
      </c>
    </row>
    <row r="5" ht="14.25" customHeight="1">
      <c r="A5" s="7" t="s">
        <v>69</v>
      </c>
      <c r="B5" s="14">
        <f>COUNTIF(DATA!$F$4:$F41341,"SOUTHWEST")</f>
        <v>325</v>
      </c>
      <c r="C5" s="18" t="s">
        <v>33</v>
      </c>
    </row>
    <row r="6" ht="14.25" customHeight="1"/>
    <row r="7" ht="14.25" customHeight="1"/>
    <row r="8" ht="14.25" customHeight="1">
      <c r="A8" s="7" t="s">
        <v>70</v>
      </c>
      <c r="B8" s="14">
        <f>SUM(B2:B3)</f>
        <v>649</v>
      </c>
    </row>
    <row r="9" ht="14.25" customHeight="1">
      <c r="A9" s="7" t="s">
        <v>71</v>
      </c>
      <c r="B9" s="14">
        <f>SUM(B4:B5)</f>
        <v>689</v>
      </c>
      <c r="C9" s="15" t="s">
        <v>72</v>
      </c>
    </row>
    <row r="10" ht="14.25" customHeight="1">
      <c r="B10" s="14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9:H9"/>
  </mergeCells>
  <conditionalFormatting sqref="C4">
    <cfRule type="cellIs" dxfId="0" priority="1" operator="equal">
      <formula>"PINK"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9.43"/>
    <col customWidth="1" min="3" max="26" width="8.71"/>
  </cols>
  <sheetData>
    <row r="1" ht="14.25" customHeight="1">
      <c r="A1" s="4" t="s">
        <v>7</v>
      </c>
      <c r="B1" s="5" t="s">
        <v>28</v>
      </c>
    </row>
    <row r="2" ht="14.25" customHeight="1">
      <c r="A2" s="7" t="s">
        <v>17</v>
      </c>
      <c r="B2" s="14">
        <f>MAX(DATA!$G$4:$G$1341)</f>
        <v>63770.42801</v>
      </c>
    </row>
    <row r="3" ht="14.25" customHeight="1">
      <c r="A3" s="7" t="s">
        <v>18</v>
      </c>
      <c r="B3" s="14">
        <f>MIN(DATA!$G$4:$G$1341)</f>
        <v>1121.8739</v>
      </c>
    </row>
    <row r="4" ht="14.25" customHeight="1">
      <c r="A4" s="7" t="s">
        <v>73</v>
      </c>
      <c r="B4" s="14">
        <f>AVERAGE(DATA!$G$4:$G$1341)</f>
        <v>13270.42227</v>
      </c>
    </row>
    <row r="5" ht="14.25" customHeight="1">
      <c r="A5" s="7" t="s">
        <v>21</v>
      </c>
      <c r="B5" s="14">
        <f>MODE(DATA!$G$4:$G$1341)</f>
        <v>1639.5631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>
      <c r="A12" s="15" t="s">
        <v>60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2:E1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43"/>
    <col customWidth="1" min="3" max="3" width="10.0"/>
    <col customWidth="1" min="4" max="4" width="15.43"/>
    <col customWidth="1" min="5" max="5" width="15.57"/>
    <col customWidth="1" min="6" max="6" width="12.0"/>
    <col customWidth="1" min="7" max="7" width="12.57"/>
    <col customWidth="1" min="8" max="8" width="15.43"/>
    <col customWidth="1" min="9" max="9" width="12.29"/>
    <col customWidth="1" min="10" max="10" width="12.57"/>
    <col customWidth="1" min="11" max="11" width="15.43"/>
    <col customWidth="1" min="12" max="40" width="8.71"/>
  </cols>
  <sheetData>
    <row r="1" ht="14.25" customHeight="1"/>
    <row r="2" ht="14.25" customHeight="1">
      <c r="J2" s="22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>
      <c r="G8" s="22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</sheetData>
  <printOptions/>
  <pageMargins bottom="0.75" footer="0.0" header="0.0" left="0.7" right="0.7" top="0.75"/>
  <pageSetup orientation="landscape"/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25" t="s">
        <v>80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2024-06-06T13:52:32Z</dcterms:created>
  <dc:creator>khushipainter410@gmail.com</dc:creator>
</cp:coreProperties>
</file>